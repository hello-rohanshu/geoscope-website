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-Projects\Coding\0-Deployed\geoscope-website\src\app\all-info-data\fuel related data\OWID\"/>
    </mc:Choice>
  </mc:AlternateContent>
  <xr:revisionPtr revIDLastSave="0" documentId="13_ncr:9_{1923EDE0-605F-4F25-8F01-0CA265B02B2F}" xr6:coauthVersionLast="47" xr6:coauthVersionMax="47" xr10:uidLastSave="{00000000-0000-0000-0000-000000000000}"/>
  <bookViews>
    <workbookView xWindow="-108" yWindow="-108" windowWidth="23256" windowHeight="13176" xr2:uid="{2539AECE-11D9-4ABF-83DC-E3CCF62B5D4F}"/>
  </bookViews>
  <sheets>
    <sheet name="global-energy-substitution" sheetId="1" r:id="rId1"/>
  </sheets>
  <calcPr calcId="0"/>
</workbook>
</file>

<file path=xl/calcChain.xml><?xml version="1.0" encoding="utf-8"?>
<calcChain xmlns="http://schemas.openxmlformats.org/spreadsheetml/2006/main">
  <c r="P2" i="1" l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3" i="1"/>
  <c r="Q3" i="1"/>
  <c r="P4" i="1"/>
  <c r="Q4" i="1"/>
  <c r="P5" i="1"/>
  <c r="Q5" i="1"/>
  <c r="P6" i="1"/>
  <c r="Q6" i="1"/>
  <c r="Q2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28" i="1"/>
  <c r="O29" i="1"/>
  <c r="O30" i="1"/>
  <c r="O31" i="1"/>
  <c r="O32" i="1"/>
  <c r="O33" i="1"/>
  <c r="O34" i="1"/>
  <c r="O35" i="1"/>
  <c r="O36" i="1"/>
  <c r="O37" i="1"/>
  <c r="O38" i="1"/>
  <c r="O3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" i="1"/>
</calcChain>
</file>

<file path=xl/sharedStrings.xml><?xml version="1.0" encoding="utf-8"?>
<sst xmlns="http://schemas.openxmlformats.org/spreadsheetml/2006/main" count="170" uniqueCount="17">
  <si>
    <t>Entity</t>
  </si>
  <si>
    <t>Code</t>
  </si>
  <si>
    <t>Year</t>
  </si>
  <si>
    <t>Other renewables (TWh, substituted energy)</t>
  </si>
  <si>
    <t>Biofuels (TWh, substituted energy)</t>
  </si>
  <si>
    <t>Solar (TWh, substituted energy)</t>
  </si>
  <si>
    <t>Wind (TWh, substituted energy)</t>
  </si>
  <si>
    <t>Hydropower (TWh, substituted energy)</t>
  </si>
  <si>
    <t>Nuclear (TWh, substituted energy)</t>
  </si>
  <si>
    <t>Gas (TWh, substituted energy)</t>
  </si>
  <si>
    <t>Oil (TWh, substituted energy)</t>
  </si>
  <si>
    <t>Coal (TWh, substituted energy)</t>
  </si>
  <si>
    <t>Traditional biomass (TWh, substituted energy)</t>
  </si>
  <si>
    <t>World</t>
  </si>
  <si>
    <t>OWID_WRL</t>
  </si>
  <si>
    <t>Savings (EJ)</t>
  </si>
  <si>
    <t>Income (EJ)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</si>
</sst>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'global-energy-substitution'!$P$1</c:f>
              <c:strCache>
                <c:ptCount val="1"/>
                <c:pt idx="0">
                  <c:v>Savings (EJ)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'global-energy-substitution'!$O$2:$O$78</c:f>
              <c:numCache>
                <c:formatCode>General</c:formatCode>
                <c:ptCount val="77"/>
                <c:pt idx="0">
                  <c:v>1800</c:v>
                </c:pt>
                <c:pt idx="1">
                  <c:v>1810</c:v>
                </c:pt>
                <c:pt idx="2">
                  <c:v>1820</c:v>
                </c:pt>
                <c:pt idx="3">
                  <c:v>1830</c:v>
                </c:pt>
                <c:pt idx="4">
                  <c:v>1840</c:v>
                </c:pt>
                <c:pt idx="5">
                  <c:v>1850</c:v>
                </c:pt>
                <c:pt idx="6">
                  <c:v>1860</c:v>
                </c:pt>
                <c:pt idx="7">
                  <c:v>1870</c:v>
                </c:pt>
                <c:pt idx="8">
                  <c:v>1880</c:v>
                </c:pt>
                <c:pt idx="9">
                  <c:v>1890</c:v>
                </c:pt>
                <c:pt idx="10">
                  <c:v>1900</c:v>
                </c:pt>
                <c:pt idx="11">
                  <c:v>1910</c:v>
                </c:pt>
                <c:pt idx="12">
                  <c:v>1920</c:v>
                </c:pt>
                <c:pt idx="13">
                  <c:v>1930</c:v>
                </c:pt>
                <c:pt idx="14">
                  <c:v>1940</c:v>
                </c:pt>
                <c:pt idx="15">
                  <c:v>1950</c:v>
                </c:pt>
                <c:pt idx="16">
                  <c:v>1960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</c:numCache>
            </c:numRef>
          </c:xVal>
          <c:yVal>
            <c:numRef>
              <c:f>'global-energy-substitution'!$P$2:$P$78</c:f>
              <c:numCache>
                <c:formatCode>0</c:formatCode>
                <c:ptCount val="77"/>
                <c:pt idx="0">
                  <c:v>20.3508</c:v>
                </c:pt>
                <c:pt idx="1">
                  <c:v>21.459599999999998</c:v>
                </c:pt>
                <c:pt idx="2">
                  <c:v>22.5504</c:v>
                </c:pt>
                <c:pt idx="3">
                  <c:v>23.950800000000001</c:v>
                </c:pt>
                <c:pt idx="4">
                  <c:v>26.279999999999998</c:v>
                </c:pt>
                <c:pt idx="5">
                  <c:v>28.047599999999999</c:v>
                </c:pt>
                <c:pt idx="6">
                  <c:v>28.817999999999998</c:v>
                </c:pt>
                <c:pt idx="7">
                  <c:v>30.9312</c:v>
                </c:pt>
                <c:pt idx="8">
                  <c:v>34.2684</c:v>
                </c:pt>
                <c:pt idx="9">
                  <c:v>38.321999999999996</c:v>
                </c:pt>
                <c:pt idx="10">
                  <c:v>43.502400000000002</c:v>
                </c:pt>
                <c:pt idx="11">
                  <c:v>56.102399999999996</c:v>
                </c:pt>
                <c:pt idx="12">
                  <c:v>64.436399999999992</c:v>
                </c:pt>
                <c:pt idx="13">
                  <c:v>70.941599999999994</c:v>
                </c:pt>
                <c:pt idx="14">
                  <c:v>80.409599999999998</c:v>
                </c:pt>
                <c:pt idx="15">
                  <c:v>99.500399999999999</c:v>
                </c:pt>
                <c:pt idx="16">
                  <c:v>143.63999999999999</c:v>
                </c:pt>
                <c:pt idx="17">
                  <c:v>179.01329641200002</c:v>
                </c:pt>
                <c:pt idx="18">
                  <c:v>187.085907072</c:v>
                </c:pt>
                <c:pt idx="19">
                  <c:v>193.0910313384</c:v>
                </c:pt>
                <c:pt idx="20">
                  <c:v>202.909465692</c:v>
                </c:pt>
                <c:pt idx="21">
                  <c:v>214.86401852400002</c:v>
                </c:pt>
                <c:pt idx="22">
                  <c:v>226.9786905</c:v>
                </c:pt>
                <c:pt idx="23">
                  <c:v>234.72418978800002</c:v>
                </c:pt>
                <c:pt idx="24">
                  <c:v>246.02776466399999</c:v>
                </c:pt>
                <c:pt idx="25">
                  <c:v>259.07752889999995</c:v>
                </c:pt>
                <c:pt idx="26">
                  <c:v>259.16487047999999</c:v>
                </c:pt>
                <c:pt idx="27">
                  <c:v>260.80935156000004</c:v>
                </c:pt>
                <c:pt idx="28">
                  <c:v>273.92853239999999</c:v>
                </c:pt>
                <c:pt idx="29">
                  <c:v>282.77120195999998</c:v>
                </c:pt>
                <c:pt idx="30">
                  <c:v>291.94462655999996</c:v>
                </c:pt>
                <c:pt idx="31">
                  <c:v>300.30316992000002</c:v>
                </c:pt>
                <c:pt idx="32">
                  <c:v>297.57944196</c:v>
                </c:pt>
                <c:pt idx="33">
                  <c:v>296.22691691999995</c:v>
                </c:pt>
                <c:pt idx="34">
                  <c:v>294.77518343999998</c:v>
                </c:pt>
                <c:pt idx="35">
                  <c:v>298.96175519999997</c:v>
                </c:pt>
                <c:pt idx="36">
                  <c:v>311.21866224000001</c:v>
                </c:pt>
                <c:pt idx="37">
                  <c:v>319.03391879999998</c:v>
                </c:pt>
                <c:pt idx="38">
                  <c:v>325.72160387999998</c:v>
                </c:pt>
                <c:pt idx="39">
                  <c:v>336.96820439999999</c:v>
                </c:pt>
                <c:pt idx="40">
                  <c:v>348.64679520000004</c:v>
                </c:pt>
                <c:pt idx="41">
                  <c:v>355.43949120000002</c:v>
                </c:pt>
                <c:pt idx="42">
                  <c:v>359.94632039999999</c:v>
                </c:pt>
                <c:pt idx="43">
                  <c:v>362.16892619999999</c:v>
                </c:pt>
                <c:pt idx="44">
                  <c:v>364.66502615999997</c:v>
                </c:pt>
                <c:pt idx="45">
                  <c:v>366.48324611999999</c:v>
                </c:pt>
                <c:pt idx="46">
                  <c:v>371.17170359999994</c:v>
                </c:pt>
                <c:pt idx="47">
                  <c:v>378.02357999999998</c:v>
                </c:pt>
                <c:pt idx="48">
                  <c:v>388.66826700000001</c:v>
                </c:pt>
                <c:pt idx="49">
                  <c:v>392.2228728</c:v>
                </c:pt>
                <c:pt idx="50">
                  <c:v>394.49124359999996</c:v>
                </c:pt>
                <c:pt idx="51">
                  <c:v>401.18684039999999</c:v>
                </c:pt>
                <c:pt idx="52">
                  <c:v>410.88881339999995</c:v>
                </c:pt>
                <c:pt idx="53">
                  <c:v>415.53156960000001</c:v>
                </c:pt>
                <c:pt idx="54">
                  <c:v>423.31458600000002</c:v>
                </c:pt>
                <c:pt idx="55">
                  <c:v>436.98337055999997</c:v>
                </c:pt>
                <c:pt idx="56">
                  <c:v>455.56968744</c:v>
                </c:pt>
                <c:pt idx="57">
                  <c:v>468.63199080000004</c:v>
                </c:pt>
                <c:pt idx="58">
                  <c:v>479.46113928000005</c:v>
                </c:pt>
                <c:pt idx="59">
                  <c:v>492.7738104</c:v>
                </c:pt>
                <c:pt idx="60">
                  <c:v>495.33076079999995</c:v>
                </c:pt>
                <c:pt idx="61">
                  <c:v>486.31260600000007</c:v>
                </c:pt>
                <c:pt idx="62">
                  <c:v>506.43882900000006</c:v>
                </c:pt>
                <c:pt idx="63">
                  <c:v>516.00988187999997</c:v>
                </c:pt>
                <c:pt idx="64">
                  <c:v>520.25655383999992</c:v>
                </c:pt>
                <c:pt idx="65">
                  <c:v>525.96188640000003</c:v>
                </c:pt>
                <c:pt idx="66">
                  <c:v>528.87991067999997</c:v>
                </c:pt>
                <c:pt idx="67">
                  <c:v>530.64095975999987</c:v>
                </c:pt>
                <c:pt idx="68">
                  <c:v>534.03947856000002</c:v>
                </c:pt>
                <c:pt idx="69">
                  <c:v>542.86643519999996</c:v>
                </c:pt>
                <c:pt idx="70">
                  <c:v>553.80656160000001</c:v>
                </c:pt>
                <c:pt idx="71">
                  <c:v>556.95330504000003</c:v>
                </c:pt>
                <c:pt idx="72">
                  <c:v>532.33968600000003</c:v>
                </c:pt>
                <c:pt idx="73">
                  <c:v>557.02456092</c:v>
                </c:pt>
                <c:pt idx="74">
                  <c:v>562.47486695999999</c:v>
                </c:pt>
                <c:pt idx="75">
                  <c:v>569.149632</c:v>
                </c:pt>
                <c:pt idx="76">
                  <c:v>577.45342800000003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69-4BFF-8557-FFC1DF900FAD}"/>
            </c:ext>
          </c:extLst>
        </c:ser>
        <c:ser>
          <c:idx val="1"/>
          <c:order val="1"/>
          <c:tx>
            <c:strRef>
              <c:f>'global-energy-substitution'!$Q$1</c:f>
              <c:strCache>
                <c:ptCount val="1"/>
                <c:pt idx="0">
                  <c:v>Income (EJ)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'global-energy-substitution'!$O$2:$O$78</c:f>
              <c:numCache>
                <c:formatCode>General</c:formatCode>
                <c:ptCount val="77"/>
                <c:pt idx="0">
                  <c:v>1800</c:v>
                </c:pt>
                <c:pt idx="1">
                  <c:v>1810</c:v>
                </c:pt>
                <c:pt idx="2">
                  <c:v>1820</c:v>
                </c:pt>
                <c:pt idx="3">
                  <c:v>1830</c:v>
                </c:pt>
                <c:pt idx="4">
                  <c:v>1840</c:v>
                </c:pt>
                <c:pt idx="5">
                  <c:v>1850</c:v>
                </c:pt>
                <c:pt idx="6">
                  <c:v>1860</c:v>
                </c:pt>
                <c:pt idx="7">
                  <c:v>1870</c:v>
                </c:pt>
                <c:pt idx="8">
                  <c:v>1880</c:v>
                </c:pt>
                <c:pt idx="9">
                  <c:v>1890</c:v>
                </c:pt>
                <c:pt idx="10">
                  <c:v>1900</c:v>
                </c:pt>
                <c:pt idx="11">
                  <c:v>1910</c:v>
                </c:pt>
                <c:pt idx="12">
                  <c:v>1920</c:v>
                </c:pt>
                <c:pt idx="13">
                  <c:v>1930</c:v>
                </c:pt>
                <c:pt idx="14">
                  <c:v>1940</c:v>
                </c:pt>
                <c:pt idx="15">
                  <c:v>1950</c:v>
                </c:pt>
                <c:pt idx="16">
                  <c:v>1960</c:v>
                </c:pt>
                <c:pt idx="17">
                  <c:v>1965</c:v>
                </c:pt>
                <c:pt idx="18">
                  <c:v>1966</c:v>
                </c:pt>
                <c:pt idx="19">
                  <c:v>1967</c:v>
                </c:pt>
                <c:pt idx="20">
                  <c:v>1968</c:v>
                </c:pt>
                <c:pt idx="21">
                  <c:v>1969</c:v>
                </c:pt>
                <c:pt idx="22">
                  <c:v>1970</c:v>
                </c:pt>
                <c:pt idx="23">
                  <c:v>1971</c:v>
                </c:pt>
                <c:pt idx="24">
                  <c:v>1972</c:v>
                </c:pt>
                <c:pt idx="25">
                  <c:v>1973</c:v>
                </c:pt>
                <c:pt idx="26">
                  <c:v>1974</c:v>
                </c:pt>
                <c:pt idx="27">
                  <c:v>1975</c:v>
                </c:pt>
                <c:pt idx="28">
                  <c:v>1976</c:v>
                </c:pt>
                <c:pt idx="29">
                  <c:v>1977</c:v>
                </c:pt>
                <c:pt idx="30">
                  <c:v>1978</c:v>
                </c:pt>
                <c:pt idx="31">
                  <c:v>1979</c:v>
                </c:pt>
                <c:pt idx="32">
                  <c:v>1980</c:v>
                </c:pt>
                <c:pt idx="33">
                  <c:v>1981</c:v>
                </c:pt>
                <c:pt idx="34">
                  <c:v>1982</c:v>
                </c:pt>
                <c:pt idx="35">
                  <c:v>1983</c:v>
                </c:pt>
                <c:pt idx="36">
                  <c:v>1984</c:v>
                </c:pt>
                <c:pt idx="37">
                  <c:v>1985</c:v>
                </c:pt>
                <c:pt idx="38">
                  <c:v>1986</c:v>
                </c:pt>
                <c:pt idx="39">
                  <c:v>1987</c:v>
                </c:pt>
                <c:pt idx="40">
                  <c:v>1988</c:v>
                </c:pt>
                <c:pt idx="41">
                  <c:v>1989</c:v>
                </c:pt>
                <c:pt idx="42">
                  <c:v>1990</c:v>
                </c:pt>
                <c:pt idx="43">
                  <c:v>1991</c:v>
                </c:pt>
                <c:pt idx="44">
                  <c:v>1992</c:v>
                </c:pt>
                <c:pt idx="45">
                  <c:v>1993</c:v>
                </c:pt>
                <c:pt idx="46">
                  <c:v>1994</c:v>
                </c:pt>
                <c:pt idx="47">
                  <c:v>1995</c:v>
                </c:pt>
                <c:pt idx="48">
                  <c:v>1996</c:v>
                </c:pt>
                <c:pt idx="49">
                  <c:v>1997</c:v>
                </c:pt>
                <c:pt idx="50">
                  <c:v>1998</c:v>
                </c:pt>
                <c:pt idx="51">
                  <c:v>1999</c:v>
                </c:pt>
                <c:pt idx="52">
                  <c:v>2000</c:v>
                </c:pt>
                <c:pt idx="53">
                  <c:v>2001</c:v>
                </c:pt>
                <c:pt idx="54">
                  <c:v>2002</c:v>
                </c:pt>
                <c:pt idx="55">
                  <c:v>2003</c:v>
                </c:pt>
                <c:pt idx="56">
                  <c:v>2004</c:v>
                </c:pt>
                <c:pt idx="57">
                  <c:v>2005</c:v>
                </c:pt>
                <c:pt idx="58">
                  <c:v>2006</c:v>
                </c:pt>
                <c:pt idx="59">
                  <c:v>2007</c:v>
                </c:pt>
                <c:pt idx="60">
                  <c:v>2008</c:v>
                </c:pt>
                <c:pt idx="61">
                  <c:v>2009</c:v>
                </c:pt>
                <c:pt idx="62">
                  <c:v>2010</c:v>
                </c:pt>
                <c:pt idx="63">
                  <c:v>2011</c:v>
                </c:pt>
                <c:pt idx="64">
                  <c:v>2012</c:v>
                </c:pt>
                <c:pt idx="65">
                  <c:v>2013</c:v>
                </c:pt>
                <c:pt idx="66">
                  <c:v>2014</c:v>
                </c:pt>
                <c:pt idx="67">
                  <c:v>2015</c:v>
                </c:pt>
                <c:pt idx="68">
                  <c:v>2016</c:v>
                </c:pt>
                <c:pt idx="69">
                  <c:v>2017</c:v>
                </c:pt>
                <c:pt idx="70">
                  <c:v>2018</c:v>
                </c:pt>
                <c:pt idx="71">
                  <c:v>2019</c:v>
                </c:pt>
                <c:pt idx="72">
                  <c:v>2020</c:v>
                </c:pt>
                <c:pt idx="73">
                  <c:v>2021</c:v>
                </c:pt>
                <c:pt idx="74">
                  <c:v>2022</c:v>
                </c:pt>
                <c:pt idx="75">
                  <c:v>2023</c:v>
                </c:pt>
                <c:pt idx="76">
                  <c:v>2024</c:v>
                </c:pt>
              </c:numCache>
            </c:numRef>
          </c:xVal>
          <c:yVal>
            <c:numRef>
              <c:f>'global-energy-substitution'!$Q$2:$Q$78</c:f>
              <c:numCache>
                <c:formatCode>0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0.23484135959999999</c:v>
                </c:pt>
                <c:pt idx="18">
                  <c:v>0.25597301760000002</c:v>
                </c:pt>
                <c:pt idx="19">
                  <c:v>0.25863028560000001</c:v>
                </c:pt>
                <c:pt idx="20">
                  <c:v>0.28324418400000001</c:v>
                </c:pt>
                <c:pt idx="21">
                  <c:v>0.29665843920000001</c:v>
                </c:pt>
                <c:pt idx="22">
                  <c:v>0.33775173000000003</c:v>
                </c:pt>
                <c:pt idx="23">
                  <c:v>0.3625670412</c:v>
                </c:pt>
                <c:pt idx="24">
                  <c:v>0.38961191160000003</c:v>
                </c:pt>
                <c:pt idx="25">
                  <c:v>0.41238034919999994</c:v>
                </c:pt>
                <c:pt idx="26">
                  <c:v>0.43735718159999998</c:v>
                </c:pt>
                <c:pt idx="27">
                  <c:v>0.44091411120000001</c:v>
                </c:pt>
                <c:pt idx="28">
                  <c:v>0.485903592</c:v>
                </c:pt>
                <c:pt idx="29">
                  <c:v>0.52598219400000001</c:v>
                </c:pt>
                <c:pt idx="30">
                  <c:v>0.57056090159880002</c:v>
                </c:pt>
                <c:pt idx="31">
                  <c:v>0.62406021839759995</c:v>
                </c:pt>
                <c:pt idx="32">
                  <c:v>0.67745651999399981</c:v>
                </c:pt>
                <c:pt idx="33">
                  <c:v>0.70891696679400007</c:v>
                </c:pt>
                <c:pt idx="34">
                  <c:v>0.82961320638960001</c:v>
                </c:pt>
                <c:pt idx="35">
                  <c:v>0.94582015348680004</c:v>
                </c:pt>
                <c:pt idx="36">
                  <c:v>1.0675080318527999</c:v>
                </c:pt>
                <c:pt idx="37">
                  <c:v>1.1324400347304</c:v>
                </c:pt>
                <c:pt idx="38">
                  <c:v>1.2659089494851998</c:v>
                </c:pt>
                <c:pt idx="39">
                  <c:v>1.3388035178159996</c:v>
                </c:pt>
                <c:pt idx="40">
                  <c:v>1.3851447014448</c:v>
                </c:pt>
                <c:pt idx="41">
                  <c:v>1.5511653653399999</c:v>
                </c:pt>
                <c:pt idx="42">
                  <c:v>1.7426298891599998</c:v>
                </c:pt>
                <c:pt idx="43">
                  <c:v>1.8197028817200001</c:v>
                </c:pt>
                <c:pt idx="44">
                  <c:v>1.9188832212000002</c:v>
                </c:pt>
                <c:pt idx="45">
                  <c:v>1.9983922538399999</c:v>
                </c:pt>
                <c:pt idx="46">
                  <c:v>2.1066746101199998</c:v>
                </c:pt>
                <c:pt idx="47">
                  <c:v>2.2106901358800002</c:v>
                </c:pt>
                <c:pt idx="48">
                  <c:v>2.2473892090800001</c:v>
                </c:pt>
                <c:pt idx="49">
                  <c:v>2.4117710047199998</c:v>
                </c:pt>
                <c:pt idx="50">
                  <c:v>2.5400392142399997</c:v>
                </c:pt>
                <c:pt idx="51">
                  <c:v>2.6955030690000004</c:v>
                </c:pt>
                <c:pt idx="52">
                  <c:v>2.8820698664400002</c:v>
                </c:pt>
                <c:pt idx="53">
                  <c:v>3.0297984062399999</c:v>
                </c:pt>
                <c:pt idx="54">
                  <c:v>3.3980589986400003</c:v>
                </c:pt>
                <c:pt idx="55">
                  <c:v>3.7083798802799994</c:v>
                </c:pt>
                <c:pt idx="56">
                  <c:v>4.244505534</c:v>
                </c:pt>
                <c:pt idx="57">
                  <c:v>4.7712051504000002</c:v>
                </c:pt>
                <c:pt idx="58">
                  <c:v>5.4617931935999993</c:v>
                </c:pt>
                <c:pt idx="59">
                  <c:v>6.4488820823999999</c:v>
                </c:pt>
                <c:pt idx="60">
                  <c:v>7.7072117039999997</c:v>
                </c:pt>
                <c:pt idx="61">
                  <c:v>8.7818580504000003</c:v>
                </c:pt>
                <c:pt idx="62">
                  <c:v>10.266425712</c:v>
                </c:pt>
                <c:pt idx="63">
                  <c:v>11.774417507999999</c:v>
                </c:pt>
                <c:pt idx="64">
                  <c:v>13.377424823999998</c:v>
                </c:pt>
                <c:pt idx="65">
                  <c:v>15.267736008000002</c:v>
                </c:pt>
                <c:pt idx="66">
                  <c:v>17.042783328000002</c:v>
                </c:pt>
                <c:pt idx="67">
                  <c:v>19.163755332000001</c:v>
                </c:pt>
                <c:pt idx="68">
                  <c:v>21.209079096</c:v>
                </c:pt>
                <c:pt idx="69">
                  <c:v>24.226734131999997</c:v>
                </c:pt>
                <c:pt idx="70">
                  <c:v>27.305469720000001</c:v>
                </c:pt>
                <c:pt idx="71">
                  <c:v>30.364944840000003</c:v>
                </c:pt>
                <c:pt idx="72">
                  <c:v>33.39874116</c:v>
                </c:pt>
                <c:pt idx="73">
                  <c:v>38.237529960000003</c:v>
                </c:pt>
                <c:pt idx="74">
                  <c:v>43.225048440000002</c:v>
                </c:pt>
                <c:pt idx="75">
                  <c:v>48.320512199999996</c:v>
                </c:pt>
                <c:pt idx="76">
                  <c:v>54.425770559999997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69-4BFF-8557-FFC1DF90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934288"/>
        <c:axId val="1799939088"/>
      </c:scatterChart>
      <c:valAx>
        <c:axId val="179993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99939088"/>
        <c:crosses val="autoZero"/>
        <c:crossBetween val="midCat"/>
      </c:valAx>
      <c:valAx>
        <c:axId val="17999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79993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571500</xdr:colOff>
      <xdr:row>5</xdr:row>
      <xdr:rowOff>60960</xdr:rowOff>
    </xdr:from>
    <xdr:to>
      <xdr:col>26</xdr:col>
      <xdr:colOff>266700</xdr:colOff>
      <xdr:row>20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0FFA6-4DBA-C0B2-1D36-B989B5E1A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B6C4-A9A9-4F3E-B12E-700CE64969E3}">
  <dimension ref="A1:Q78"/>
  <sheetViews>
    <sheetView tabSelected="1" topLeftCell="L70" workbookViewId="0">
      <selection activeCell="O1" sqref="O1:Q78"/>
    </sheetView>
  </sheetViews>
  <sheetFormatPr defaultRowHeight="14.4" x14ac:dyDescent="0.3"/>
  <cols>
    <col min="1" max="1" width="5.77734375" bestFit="1" customWidth="1"/>
    <col min="2" max="2" width="10.109375" bestFit="1" customWidth="1"/>
    <col min="3" max="3" width="5" bestFit="1" customWidth="1"/>
    <col min="4" max="4" width="36.33203125" bestFit="1" customWidth="1"/>
    <col min="5" max="5" width="28.33203125" bestFit="1" customWidth="1"/>
    <col min="6" max="7" width="26" bestFit="1" customWidth="1"/>
    <col min="8" max="8" width="31.77734375" bestFit="1" customWidth="1"/>
    <col min="9" max="9" width="28.33203125" bestFit="1" customWidth="1"/>
    <col min="10" max="10" width="25" bestFit="1" customWidth="1"/>
    <col min="11" max="11" width="24" bestFit="1" customWidth="1"/>
    <col min="12" max="12" width="25.5546875" bestFit="1" customWidth="1"/>
    <col min="13" max="13" width="37.77734375" bestFit="1" customWidth="1"/>
    <col min="15" max="15" width="5" bestFit="1" customWidth="1"/>
    <col min="16" max="17" width="12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2</v>
      </c>
      <c r="P1" t="s">
        <v>15</v>
      </c>
      <c r="Q1" t="s">
        <v>16</v>
      </c>
    </row>
    <row r="2" spans="1:17" x14ac:dyDescent="0.3">
      <c r="A2" t="s">
        <v>13</v>
      </c>
      <c r="B2" t="s">
        <v>14</v>
      </c>
      <c r="C2">
        <v>1800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97</v>
      </c>
      <c r="M2">
        <v>5556</v>
      </c>
      <c r="O2">
        <f>C2</f>
        <v>1800</v>
      </c>
      <c r="P2" s="1">
        <f>0.0036*SUM(I2:M2)</f>
        <v>20.3508</v>
      </c>
      <c r="Q2" s="1">
        <f>0.0036*SUM(D2:G2)</f>
        <v>0</v>
      </c>
    </row>
    <row r="3" spans="1:17" x14ac:dyDescent="0.3">
      <c r="A3" t="s">
        <v>13</v>
      </c>
      <c r="B3" t="s">
        <v>14</v>
      </c>
      <c r="C3">
        <v>1810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128</v>
      </c>
      <c r="M3">
        <v>5833</v>
      </c>
      <c r="O3">
        <f>C3</f>
        <v>1810</v>
      </c>
      <c r="P3" s="1">
        <f t="shared" ref="P3:P7" si="0">0.0036*SUM(I3:M3)</f>
        <v>21.459599999999998</v>
      </c>
      <c r="Q3" s="1">
        <f t="shared" ref="Q3:Q7" si="1">0.0036*SUM(D3:G3)</f>
        <v>0</v>
      </c>
    </row>
    <row r="4" spans="1:17" x14ac:dyDescent="0.3">
      <c r="A4" t="s">
        <v>13</v>
      </c>
      <c r="B4" t="s">
        <v>14</v>
      </c>
      <c r="C4">
        <v>1820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153</v>
      </c>
      <c r="M4">
        <v>6111</v>
      </c>
      <c r="O4">
        <f>C4</f>
        <v>1820</v>
      </c>
      <c r="P4" s="1">
        <f t="shared" si="0"/>
        <v>22.5504</v>
      </c>
      <c r="Q4" s="1">
        <f t="shared" si="1"/>
        <v>0</v>
      </c>
    </row>
    <row r="5" spans="1:17" x14ac:dyDescent="0.3">
      <c r="A5" t="s">
        <v>13</v>
      </c>
      <c r="B5" t="s">
        <v>14</v>
      </c>
      <c r="C5">
        <v>1830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264</v>
      </c>
      <c r="M5">
        <v>6389</v>
      </c>
      <c r="O5">
        <f>C5</f>
        <v>1830</v>
      </c>
      <c r="P5" s="1">
        <f t="shared" si="0"/>
        <v>23.950800000000001</v>
      </c>
      <c r="Q5" s="1">
        <f t="shared" si="1"/>
        <v>0</v>
      </c>
    </row>
    <row r="6" spans="1:17" x14ac:dyDescent="0.3">
      <c r="A6" t="s">
        <v>13</v>
      </c>
      <c r="B6" t="s">
        <v>14</v>
      </c>
      <c r="C6">
        <v>1840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356</v>
      </c>
      <c r="M6">
        <v>6944</v>
      </c>
      <c r="O6">
        <f>C6</f>
        <v>1840</v>
      </c>
      <c r="P6" s="1">
        <f t="shared" si="0"/>
        <v>26.279999999999998</v>
      </c>
      <c r="Q6" s="1">
        <f t="shared" si="1"/>
        <v>0</v>
      </c>
    </row>
    <row r="7" spans="1:17" x14ac:dyDescent="0.3">
      <c r="A7" t="s">
        <v>13</v>
      </c>
      <c r="B7" t="s">
        <v>14</v>
      </c>
      <c r="C7">
        <v>1850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569</v>
      </c>
      <c r="M7">
        <v>7222</v>
      </c>
      <c r="O7">
        <f>C7</f>
        <v>1850</v>
      </c>
      <c r="P7" s="1">
        <f t="shared" si="0"/>
        <v>28.047599999999999</v>
      </c>
      <c r="Q7" s="1">
        <f t="shared" si="1"/>
        <v>0</v>
      </c>
    </row>
    <row r="8" spans="1:17" x14ac:dyDescent="0.3">
      <c r="A8" t="s">
        <v>13</v>
      </c>
      <c r="B8" t="s">
        <v>14</v>
      </c>
      <c r="C8">
        <v>1860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1061</v>
      </c>
      <c r="M8">
        <v>6944</v>
      </c>
      <c r="O8">
        <f>C8</f>
        <v>1860</v>
      </c>
      <c r="P8" s="1">
        <f t="shared" ref="P8:P13" si="2">0.0036*SUM(I8:M8)</f>
        <v>28.817999999999998</v>
      </c>
      <c r="Q8" s="1">
        <f t="shared" ref="Q8:Q13" si="3">0.0036*SUM(D8:G8)</f>
        <v>0</v>
      </c>
    </row>
    <row r="9" spans="1:17" x14ac:dyDescent="0.3">
      <c r="A9" t="s">
        <v>13</v>
      </c>
      <c r="B9" t="s">
        <v>14</v>
      </c>
      <c r="C9">
        <v>1870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1642</v>
      </c>
      <c r="M9">
        <v>6944</v>
      </c>
      <c r="O9">
        <f>C9</f>
        <v>1870</v>
      </c>
      <c r="P9" s="1">
        <f t="shared" si="2"/>
        <v>30.9312</v>
      </c>
      <c r="Q9" s="1">
        <f t="shared" si="3"/>
        <v>0</v>
      </c>
    </row>
    <row r="10" spans="1:17" x14ac:dyDescent="0.3">
      <c r="A10" t="s">
        <v>13</v>
      </c>
      <c r="B10" t="s">
        <v>14</v>
      </c>
      <c r="C10">
        <v>1880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33</v>
      </c>
      <c r="L10">
        <v>2542</v>
      </c>
      <c r="M10">
        <v>6944</v>
      </c>
      <c r="O10">
        <f>C10</f>
        <v>1880</v>
      </c>
      <c r="P10" s="1">
        <f t="shared" si="2"/>
        <v>34.2684</v>
      </c>
      <c r="Q10" s="1">
        <f t="shared" si="3"/>
        <v>0</v>
      </c>
    </row>
    <row r="11" spans="1:17" x14ac:dyDescent="0.3">
      <c r="A11" t="s">
        <v>13</v>
      </c>
      <c r="B11" t="s">
        <v>14</v>
      </c>
      <c r="C11">
        <v>1890</v>
      </c>
      <c r="D11">
        <v>0</v>
      </c>
      <c r="E11">
        <v>0</v>
      </c>
      <c r="F11">
        <v>0</v>
      </c>
      <c r="G11">
        <v>0</v>
      </c>
      <c r="H11">
        <v>38.888890000000004</v>
      </c>
      <c r="I11">
        <v>0</v>
      </c>
      <c r="J11">
        <v>33</v>
      </c>
      <c r="K11">
        <v>89</v>
      </c>
      <c r="L11">
        <v>3856</v>
      </c>
      <c r="M11">
        <v>6667</v>
      </c>
      <c r="O11">
        <f>C11</f>
        <v>1890</v>
      </c>
      <c r="P11" s="1">
        <f t="shared" si="2"/>
        <v>38.321999999999996</v>
      </c>
      <c r="Q11" s="1">
        <f t="shared" si="3"/>
        <v>0</v>
      </c>
    </row>
    <row r="12" spans="1:17" x14ac:dyDescent="0.3">
      <c r="A12" t="s">
        <v>13</v>
      </c>
      <c r="B12" t="s">
        <v>14</v>
      </c>
      <c r="C12">
        <v>1900</v>
      </c>
      <c r="D12">
        <v>0</v>
      </c>
      <c r="E12">
        <v>0</v>
      </c>
      <c r="F12">
        <v>0</v>
      </c>
      <c r="G12">
        <v>0</v>
      </c>
      <c r="H12">
        <v>47.22222</v>
      </c>
      <c r="I12">
        <v>0</v>
      </c>
      <c r="J12">
        <v>64</v>
      </c>
      <c r="K12">
        <v>181</v>
      </c>
      <c r="L12">
        <v>5728</v>
      </c>
      <c r="M12">
        <v>6111</v>
      </c>
      <c r="O12">
        <f>C12</f>
        <v>1900</v>
      </c>
      <c r="P12" s="1">
        <f t="shared" si="2"/>
        <v>43.502400000000002</v>
      </c>
      <c r="Q12" s="1">
        <f t="shared" si="3"/>
        <v>0</v>
      </c>
    </row>
    <row r="13" spans="1:17" x14ac:dyDescent="0.3">
      <c r="A13" t="s">
        <v>13</v>
      </c>
      <c r="B13" t="s">
        <v>14</v>
      </c>
      <c r="C13">
        <v>1910</v>
      </c>
      <c r="D13">
        <v>0</v>
      </c>
      <c r="E13">
        <v>0</v>
      </c>
      <c r="F13">
        <v>0</v>
      </c>
      <c r="G13">
        <v>0</v>
      </c>
      <c r="H13">
        <v>91.666663999999997</v>
      </c>
      <c r="I13">
        <v>0</v>
      </c>
      <c r="J13">
        <v>142</v>
      </c>
      <c r="K13">
        <v>397</v>
      </c>
      <c r="L13">
        <v>8656</v>
      </c>
      <c r="M13">
        <v>6389</v>
      </c>
      <c r="O13">
        <f>C13</f>
        <v>1910</v>
      </c>
      <c r="P13" s="1">
        <f t="shared" si="2"/>
        <v>56.102399999999996</v>
      </c>
      <c r="Q13" s="1">
        <f t="shared" si="3"/>
        <v>0</v>
      </c>
    </row>
    <row r="14" spans="1:17" x14ac:dyDescent="0.3">
      <c r="A14" t="s">
        <v>13</v>
      </c>
      <c r="B14" t="s">
        <v>14</v>
      </c>
      <c r="C14">
        <v>1920</v>
      </c>
      <c r="D14">
        <v>0</v>
      </c>
      <c r="E14">
        <v>0</v>
      </c>
      <c r="F14">
        <v>0</v>
      </c>
      <c r="G14">
        <v>0</v>
      </c>
      <c r="H14">
        <v>177.77777</v>
      </c>
      <c r="I14">
        <v>0</v>
      </c>
      <c r="J14">
        <v>233</v>
      </c>
      <c r="K14">
        <v>889</v>
      </c>
      <c r="L14">
        <v>9833</v>
      </c>
      <c r="M14">
        <v>6944</v>
      </c>
      <c r="O14">
        <f>C14</f>
        <v>1920</v>
      </c>
      <c r="P14" s="1">
        <f>0.0036*SUM(I14:M14)</f>
        <v>64.436399999999992</v>
      </c>
      <c r="Q14" s="1">
        <f>0.0036*SUM(D14:G14)</f>
        <v>0</v>
      </c>
    </row>
    <row r="15" spans="1:17" x14ac:dyDescent="0.3">
      <c r="A15" t="s">
        <v>13</v>
      </c>
      <c r="B15" t="s">
        <v>14</v>
      </c>
      <c r="C15">
        <v>1930</v>
      </c>
      <c r="D15">
        <v>0</v>
      </c>
      <c r="E15">
        <v>0</v>
      </c>
      <c r="F15">
        <v>0</v>
      </c>
      <c r="G15">
        <v>0</v>
      </c>
      <c r="H15">
        <v>363.88889999999998</v>
      </c>
      <c r="I15">
        <v>0</v>
      </c>
      <c r="J15">
        <v>603</v>
      </c>
      <c r="K15">
        <v>1756</v>
      </c>
      <c r="L15">
        <v>10125</v>
      </c>
      <c r="M15">
        <v>7222</v>
      </c>
      <c r="O15">
        <f>C15</f>
        <v>1930</v>
      </c>
      <c r="P15" s="1">
        <f t="shared" ref="P15:P33" si="4">0.0036*SUM(I15:M15)</f>
        <v>70.941599999999994</v>
      </c>
      <c r="Q15" s="1">
        <f t="shared" ref="Q15:Q33" si="5">0.0036*SUM(D15:G15)</f>
        <v>0</v>
      </c>
    </row>
    <row r="16" spans="1:17" x14ac:dyDescent="0.3">
      <c r="A16" t="s">
        <v>13</v>
      </c>
      <c r="B16" t="s">
        <v>14</v>
      </c>
      <c r="C16">
        <v>1940</v>
      </c>
      <c r="D16">
        <v>0</v>
      </c>
      <c r="E16">
        <v>0</v>
      </c>
      <c r="F16">
        <v>0</v>
      </c>
      <c r="G16">
        <v>0</v>
      </c>
      <c r="H16">
        <v>533.33330000000001</v>
      </c>
      <c r="I16">
        <v>0</v>
      </c>
      <c r="J16">
        <v>875</v>
      </c>
      <c r="K16">
        <v>2653</v>
      </c>
      <c r="L16">
        <v>11586</v>
      </c>
      <c r="M16">
        <v>7222</v>
      </c>
      <c r="O16">
        <f>C16</f>
        <v>1940</v>
      </c>
      <c r="P16" s="1">
        <f t="shared" si="4"/>
        <v>80.409599999999998</v>
      </c>
      <c r="Q16" s="1">
        <f t="shared" si="5"/>
        <v>0</v>
      </c>
    </row>
    <row r="17" spans="1:17" x14ac:dyDescent="0.3">
      <c r="A17" t="s">
        <v>13</v>
      </c>
      <c r="B17" t="s">
        <v>14</v>
      </c>
      <c r="C17">
        <v>1950</v>
      </c>
      <c r="D17">
        <v>0</v>
      </c>
      <c r="E17">
        <v>0</v>
      </c>
      <c r="F17">
        <v>0</v>
      </c>
      <c r="G17">
        <v>0</v>
      </c>
      <c r="H17">
        <v>925</v>
      </c>
      <c r="I17">
        <v>0</v>
      </c>
      <c r="J17">
        <v>2092</v>
      </c>
      <c r="K17">
        <v>5444</v>
      </c>
      <c r="L17">
        <v>12603</v>
      </c>
      <c r="M17">
        <v>7500</v>
      </c>
      <c r="O17">
        <f>C17</f>
        <v>1950</v>
      </c>
      <c r="P17" s="1">
        <f t="shared" si="4"/>
        <v>99.500399999999999</v>
      </c>
      <c r="Q17" s="1">
        <f t="shared" si="5"/>
        <v>0</v>
      </c>
    </row>
    <row r="18" spans="1:17" x14ac:dyDescent="0.3">
      <c r="A18" t="s">
        <v>13</v>
      </c>
      <c r="B18" t="s">
        <v>14</v>
      </c>
      <c r="C18">
        <v>1960</v>
      </c>
      <c r="D18">
        <v>0</v>
      </c>
      <c r="E18">
        <v>0</v>
      </c>
      <c r="F18">
        <v>0</v>
      </c>
      <c r="G18">
        <v>0</v>
      </c>
      <c r="H18">
        <v>1913.8888999999999</v>
      </c>
      <c r="I18">
        <v>0</v>
      </c>
      <c r="J18">
        <v>4472</v>
      </c>
      <c r="K18">
        <v>11097</v>
      </c>
      <c r="L18">
        <v>15442</v>
      </c>
      <c r="M18">
        <v>8889</v>
      </c>
      <c r="O18">
        <f>C18</f>
        <v>1960</v>
      </c>
      <c r="P18" s="1">
        <f t="shared" si="4"/>
        <v>143.63999999999999</v>
      </c>
      <c r="Q18" s="1">
        <f t="shared" si="5"/>
        <v>0</v>
      </c>
    </row>
    <row r="19" spans="1:17" x14ac:dyDescent="0.3">
      <c r="A19" t="s">
        <v>13</v>
      </c>
      <c r="B19" t="s">
        <v>14</v>
      </c>
      <c r="C19">
        <v>1965</v>
      </c>
      <c r="D19">
        <v>56.203850000000003</v>
      </c>
      <c r="E19">
        <v>9.0298610000000004</v>
      </c>
      <c r="F19">
        <v>0</v>
      </c>
      <c r="G19">
        <v>0</v>
      </c>
      <c r="H19">
        <v>2564.4389999999999</v>
      </c>
      <c r="I19">
        <v>70.943669999999997</v>
      </c>
      <c r="J19">
        <v>6303.8209999999999</v>
      </c>
      <c r="K19">
        <v>18011.456999999999</v>
      </c>
      <c r="L19">
        <v>16177.694</v>
      </c>
      <c r="M19">
        <v>9162</v>
      </c>
      <c r="O19">
        <f>C19</f>
        <v>1965</v>
      </c>
      <c r="P19" s="1">
        <f t="shared" si="4"/>
        <v>179.01329641200002</v>
      </c>
      <c r="Q19" s="1">
        <f t="shared" si="5"/>
        <v>0.23484135959999999</v>
      </c>
    </row>
    <row r="20" spans="1:17" x14ac:dyDescent="0.3">
      <c r="A20" t="s">
        <v>13</v>
      </c>
      <c r="B20" t="s">
        <v>14</v>
      </c>
      <c r="C20">
        <v>1966</v>
      </c>
      <c r="D20">
        <v>61.893771999999998</v>
      </c>
      <c r="E20">
        <v>9.2098440000000004</v>
      </c>
      <c r="F20">
        <v>0</v>
      </c>
      <c r="G20">
        <v>0</v>
      </c>
      <c r="H20">
        <v>2732.8247000000001</v>
      </c>
      <c r="I20">
        <v>95.648020000000002</v>
      </c>
      <c r="J20">
        <v>6868.8145000000004</v>
      </c>
      <c r="K20">
        <v>19426.414000000001</v>
      </c>
      <c r="L20">
        <v>16359.431</v>
      </c>
      <c r="M20">
        <v>9218</v>
      </c>
      <c r="O20">
        <f>C20</f>
        <v>1966</v>
      </c>
      <c r="P20" s="1">
        <f t="shared" si="4"/>
        <v>187.085907072</v>
      </c>
      <c r="Q20" s="1">
        <f t="shared" si="5"/>
        <v>0.25597301760000002</v>
      </c>
    </row>
    <row r="21" spans="1:17" x14ac:dyDescent="0.3">
      <c r="A21" t="s">
        <v>13</v>
      </c>
      <c r="B21" t="s">
        <v>14</v>
      </c>
      <c r="C21">
        <v>1967</v>
      </c>
      <c r="D21">
        <v>62.458030000000001</v>
      </c>
      <c r="E21">
        <v>9.3837159999999997</v>
      </c>
      <c r="F21">
        <v>0</v>
      </c>
      <c r="G21">
        <v>0</v>
      </c>
      <c r="H21">
        <v>2793.7287999999999</v>
      </c>
      <c r="I21">
        <v>113.90559399999999</v>
      </c>
      <c r="J21">
        <v>7374.058</v>
      </c>
      <c r="K21">
        <v>20778.916000000001</v>
      </c>
      <c r="L21">
        <v>16095.518</v>
      </c>
      <c r="M21">
        <v>9274</v>
      </c>
      <c r="O21">
        <f>C21</f>
        <v>1967</v>
      </c>
      <c r="P21" s="1">
        <f t="shared" si="4"/>
        <v>193.0910313384</v>
      </c>
      <c r="Q21" s="1">
        <f t="shared" si="5"/>
        <v>0.25863028560000001</v>
      </c>
    </row>
    <row r="22" spans="1:17" x14ac:dyDescent="0.3">
      <c r="A22" t="s">
        <v>13</v>
      </c>
      <c r="B22" t="s">
        <v>14</v>
      </c>
      <c r="C22">
        <v>1968</v>
      </c>
      <c r="D22">
        <v>69.125140000000002</v>
      </c>
      <c r="E22">
        <v>9.5538000000000007</v>
      </c>
      <c r="F22">
        <v>0</v>
      </c>
      <c r="G22">
        <v>0</v>
      </c>
      <c r="H22">
        <v>2942.4684999999999</v>
      </c>
      <c r="I22">
        <v>144.75877</v>
      </c>
      <c r="J22">
        <v>8044.3477000000003</v>
      </c>
      <c r="K22">
        <v>22510.49</v>
      </c>
      <c r="L22">
        <v>16333.144</v>
      </c>
      <c r="M22">
        <v>9331</v>
      </c>
      <c r="O22">
        <f>C22</f>
        <v>1968</v>
      </c>
      <c r="P22" s="1">
        <f t="shared" si="4"/>
        <v>202.909465692</v>
      </c>
      <c r="Q22" s="1">
        <f t="shared" si="5"/>
        <v>0.28324418400000001</v>
      </c>
    </row>
    <row r="23" spans="1:17" x14ac:dyDescent="0.3">
      <c r="A23" t="s">
        <v>13</v>
      </c>
      <c r="B23" t="s">
        <v>14</v>
      </c>
      <c r="C23">
        <v>1969</v>
      </c>
      <c r="D23">
        <v>72.681139999999999</v>
      </c>
      <c r="E23">
        <v>9.7239819999999995</v>
      </c>
      <c r="F23">
        <v>0</v>
      </c>
      <c r="G23">
        <v>0</v>
      </c>
      <c r="H23">
        <v>3115.9512</v>
      </c>
      <c r="I23">
        <v>171.62058999999999</v>
      </c>
      <c r="J23">
        <v>8833.4339999999993</v>
      </c>
      <c r="K23">
        <v>24445.395</v>
      </c>
      <c r="L23">
        <v>16847</v>
      </c>
      <c r="M23">
        <v>9387</v>
      </c>
      <c r="O23">
        <f>C23</f>
        <v>1969</v>
      </c>
      <c r="P23" s="1">
        <f t="shared" si="4"/>
        <v>214.86401852400002</v>
      </c>
      <c r="Q23" s="1">
        <f t="shared" si="5"/>
        <v>0.29665843920000001</v>
      </c>
    </row>
    <row r="24" spans="1:17" x14ac:dyDescent="0.3">
      <c r="A24" t="s">
        <v>13</v>
      </c>
      <c r="B24" t="s">
        <v>14</v>
      </c>
      <c r="C24">
        <v>1970</v>
      </c>
      <c r="D24">
        <v>80.318430000000006</v>
      </c>
      <c r="E24">
        <v>13.501495</v>
      </c>
      <c r="F24">
        <v>0</v>
      </c>
      <c r="G24">
        <v>0</v>
      </c>
      <c r="H24">
        <v>3262.9155000000001</v>
      </c>
      <c r="I24">
        <v>219.09625</v>
      </c>
      <c r="J24">
        <v>9614.8089999999993</v>
      </c>
      <c r="K24">
        <v>26684.724999999999</v>
      </c>
      <c r="L24">
        <v>17087.006000000001</v>
      </c>
      <c r="M24">
        <v>9444</v>
      </c>
      <c r="O24">
        <f>C24</f>
        <v>1970</v>
      </c>
      <c r="P24" s="1">
        <f t="shared" si="4"/>
        <v>226.9786905</v>
      </c>
      <c r="Q24" s="1">
        <f t="shared" si="5"/>
        <v>0.33775173000000003</v>
      </c>
    </row>
    <row r="25" spans="1:17" x14ac:dyDescent="0.3">
      <c r="A25" t="s">
        <v>13</v>
      </c>
      <c r="B25" t="s">
        <v>14</v>
      </c>
      <c r="C25">
        <v>1971</v>
      </c>
      <c r="D25">
        <v>87.150919999999999</v>
      </c>
      <c r="E25">
        <v>13.562147</v>
      </c>
      <c r="F25">
        <v>0</v>
      </c>
      <c r="G25">
        <v>0</v>
      </c>
      <c r="H25">
        <v>3409.0059000000001</v>
      </c>
      <c r="I25">
        <v>304.73383000000001</v>
      </c>
      <c r="J25">
        <v>10293.19</v>
      </c>
      <c r="K25">
        <v>28116.583999999999</v>
      </c>
      <c r="L25">
        <v>16987.655999999999</v>
      </c>
      <c r="M25">
        <v>9499</v>
      </c>
      <c r="O25">
        <f>C25</f>
        <v>1971</v>
      </c>
      <c r="P25" s="1">
        <f t="shared" si="4"/>
        <v>234.72418978800002</v>
      </c>
      <c r="Q25" s="1">
        <f t="shared" si="5"/>
        <v>0.3625670412</v>
      </c>
    </row>
    <row r="26" spans="1:17" x14ac:dyDescent="0.3">
      <c r="A26" t="s">
        <v>13</v>
      </c>
      <c r="B26" t="s">
        <v>14</v>
      </c>
      <c r="C26">
        <v>1972</v>
      </c>
      <c r="D26">
        <v>93.402420000000006</v>
      </c>
      <c r="E26">
        <v>14.823111000000001</v>
      </c>
      <c r="F26">
        <v>0</v>
      </c>
      <c r="G26">
        <v>0</v>
      </c>
      <c r="H26">
        <v>3568.4137999999998</v>
      </c>
      <c r="I26">
        <v>422.70873999999998</v>
      </c>
      <c r="J26">
        <v>10861.714</v>
      </c>
      <c r="K26">
        <v>30335.396000000001</v>
      </c>
      <c r="L26">
        <v>17168.226999999999</v>
      </c>
      <c r="M26">
        <v>9553</v>
      </c>
      <c r="O26">
        <f>C26</f>
        <v>1972</v>
      </c>
      <c r="P26" s="1">
        <f t="shared" si="4"/>
        <v>246.02776466399999</v>
      </c>
      <c r="Q26" s="1">
        <f t="shared" si="5"/>
        <v>0.38961191160000003</v>
      </c>
    </row>
    <row r="27" spans="1:17" x14ac:dyDescent="0.3">
      <c r="A27" t="s">
        <v>13</v>
      </c>
      <c r="B27" t="s">
        <v>14</v>
      </c>
      <c r="C27">
        <v>1973</v>
      </c>
      <c r="D27">
        <v>100.29953999999999</v>
      </c>
      <c r="E27">
        <v>14.250557000000001</v>
      </c>
      <c r="F27">
        <v>0</v>
      </c>
      <c r="G27">
        <v>0</v>
      </c>
      <c r="H27">
        <v>3619.4802</v>
      </c>
      <c r="I27">
        <v>566.39324999999997</v>
      </c>
      <c r="J27">
        <v>11377.833000000001</v>
      </c>
      <c r="K27">
        <v>32730.184000000001</v>
      </c>
      <c r="L27">
        <v>17683.57</v>
      </c>
      <c r="M27">
        <v>9608</v>
      </c>
      <c r="O27">
        <f>C27</f>
        <v>1973</v>
      </c>
      <c r="P27" s="1">
        <f t="shared" si="4"/>
        <v>259.07752889999995</v>
      </c>
      <c r="Q27" s="1">
        <f t="shared" si="5"/>
        <v>0.41238034919999994</v>
      </c>
    </row>
    <row r="28" spans="1:17" x14ac:dyDescent="0.3">
      <c r="A28" t="s">
        <v>13</v>
      </c>
      <c r="B28" t="s">
        <v>14</v>
      </c>
      <c r="C28">
        <v>1974</v>
      </c>
      <c r="D28">
        <v>107.15339</v>
      </c>
      <c r="E28">
        <v>14.334716</v>
      </c>
      <c r="F28">
        <v>0</v>
      </c>
      <c r="G28">
        <v>0</v>
      </c>
      <c r="H28">
        <v>3975.6433000000002</v>
      </c>
      <c r="I28">
        <v>740.55579999999998</v>
      </c>
      <c r="J28">
        <v>11659.859</v>
      </c>
      <c r="K28">
        <v>32230.395</v>
      </c>
      <c r="L28">
        <v>17696.432000000001</v>
      </c>
      <c r="M28">
        <v>9663</v>
      </c>
      <c r="O28">
        <f>C28</f>
        <v>1974</v>
      </c>
      <c r="P28" s="1">
        <f t="shared" si="4"/>
        <v>259.16487047999999</v>
      </c>
      <c r="Q28" s="1">
        <f t="shared" si="5"/>
        <v>0.43735718159999998</v>
      </c>
    </row>
    <row r="29" spans="1:17" x14ac:dyDescent="0.3">
      <c r="A29" t="s">
        <v>13</v>
      </c>
      <c r="B29" t="s">
        <v>14</v>
      </c>
      <c r="C29">
        <v>1975</v>
      </c>
      <c r="D29">
        <v>108.78775</v>
      </c>
      <c r="E29">
        <v>13.688392</v>
      </c>
      <c r="F29">
        <v>0</v>
      </c>
      <c r="G29">
        <v>0</v>
      </c>
      <c r="H29">
        <v>4024.6759999999999</v>
      </c>
      <c r="I29">
        <v>1027.3561</v>
      </c>
      <c r="J29">
        <v>11659.736000000001</v>
      </c>
      <c r="K29">
        <v>31996.513999999999</v>
      </c>
      <c r="L29">
        <v>18045.436000000002</v>
      </c>
      <c r="M29">
        <v>9718</v>
      </c>
      <c r="O29">
        <f>C29</f>
        <v>1975</v>
      </c>
      <c r="P29" s="1">
        <f t="shared" si="4"/>
        <v>260.80935156000004</v>
      </c>
      <c r="Q29" s="1">
        <f t="shared" si="5"/>
        <v>0.44091411120000001</v>
      </c>
    </row>
    <row r="30" spans="1:17" x14ac:dyDescent="0.3">
      <c r="A30" t="s">
        <v>13</v>
      </c>
      <c r="B30" t="s">
        <v>14</v>
      </c>
      <c r="C30">
        <v>1976</v>
      </c>
      <c r="D30">
        <v>121.22203</v>
      </c>
      <c r="E30">
        <v>13.751189999999999</v>
      </c>
      <c r="F30">
        <v>0</v>
      </c>
      <c r="G30">
        <v>0</v>
      </c>
      <c r="H30">
        <v>4008.7125999999998</v>
      </c>
      <c r="I30">
        <v>1201.865</v>
      </c>
      <c r="J30">
        <v>12354.138999999999</v>
      </c>
      <c r="K30">
        <v>34061.47</v>
      </c>
      <c r="L30">
        <v>18699.785</v>
      </c>
      <c r="M30">
        <v>9774</v>
      </c>
      <c r="O30">
        <f>C30</f>
        <v>1976</v>
      </c>
      <c r="P30" s="1">
        <f t="shared" si="4"/>
        <v>273.92853239999999</v>
      </c>
      <c r="Q30" s="1">
        <f t="shared" si="5"/>
        <v>0.485903592</v>
      </c>
    </row>
    <row r="31" spans="1:17" x14ac:dyDescent="0.3">
      <c r="A31" t="s">
        <v>13</v>
      </c>
      <c r="B31" t="s">
        <v>14</v>
      </c>
      <c r="C31">
        <v>1977</v>
      </c>
      <c r="D31">
        <v>127.78762999999999</v>
      </c>
      <c r="E31">
        <v>18.318535000000001</v>
      </c>
      <c r="F31">
        <v>0</v>
      </c>
      <c r="G31">
        <v>0</v>
      </c>
      <c r="H31">
        <v>4143.5339999999997</v>
      </c>
      <c r="I31">
        <v>1495.9661000000001</v>
      </c>
      <c r="J31">
        <v>12759.838</v>
      </c>
      <c r="K31">
        <v>35194.339999999997</v>
      </c>
      <c r="L31">
        <v>19267.412</v>
      </c>
      <c r="M31">
        <v>9830</v>
      </c>
      <c r="O31">
        <f>C31</f>
        <v>1977</v>
      </c>
      <c r="P31" s="1">
        <f t="shared" si="4"/>
        <v>282.77120195999998</v>
      </c>
      <c r="Q31" s="1">
        <f t="shared" si="5"/>
        <v>0.52598219400000001</v>
      </c>
    </row>
    <row r="32" spans="1:17" x14ac:dyDescent="0.3">
      <c r="A32" t="s">
        <v>13</v>
      </c>
      <c r="B32" t="s">
        <v>14</v>
      </c>
      <c r="C32">
        <v>1978</v>
      </c>
      <c r="D32">
        <v>135.30203</v>
      </c>
      <c r="E32">
        <v>23.178775999999999</v>
      </c>
      <c r="F32">
        <v>0</v>
      </c>
      <c r="G32">
        <v>8.3333330000000001E-3</v>
      </c>
      <c r="H32">
        <v>4484.3950000000004</v>
      </c>
      <c r="I32">
        <v>1738.3176000000001</v>
      </c>
      <c r="J32">
        <v>13293.947</v>
      </c>
      <c r="K32">
        <v>36709.972999999998</v>
      </c>
      <c r="L32">
        <v>19467.491999999998</v>
      </c>
      <c r="M32">
        <v>9886</v>
      </c>
      <c r="O32">
        <f>C32</f>
        <v>1978</v>
      </c>
      <c r="P32" s="1">
        <f t="shared" si="4"/>
        <v>291.94462655999996</v>
      </c>
      <c r="Q32" s="1">
        <f t="shared" si="5"/>
        <v>0.57056090159880002</v>
      </c>
    </row>
    <row r="33" spans="1:17" x14ac:dyDescent="0.3">
      <c r="A33" t="s">
        <v>13</v>
      </c>
      <c r="B33" t="s">
        <v>14</v>
      </c>
      <c r="C33">
        <v>1979</v>
      </c>
      <c r="D33">
        <v>145.31018</v>
      </c>
      <c r="E33">
        <v>28.023213999999999</v>
      </c>
      <c r="F33">
        <v>0</v>
      </c>
      <c r="G33">
        <v>1.6666666E-2</v>
      </c>
      <c r="H33">
        <v>4708.8500000000004</v>
      </c>
      <c r="I33">
        <v>1807.9441999999999</v>
      </c>
      <c r="J33">
        <v>14118.029</v>
      </c>
      <c r="K33">
        <v>37177.995999999999</v>
      </c>
      <c r="L33">
        <v>20370.578000000001</v>
      </c>
      <c r="M33">
        <v>9943</v>
      </c>
      <c r="O33">
        <f>C33</f>
        <v>1979</v>
      </c>
      <c r="P33" s="1">
        <f t="shared" si="4"/>
        <v>300.30316992000002</v>
      </c>
      <c r="Q33" s="1">
        <f t="shared" si="5"/>
        <v>0.62406021839759995</v>
      </c>
    </row>
    <row r="34" spans="1:17" x14ac:dyDescent="0.3">
      <c r="A34" t="s">
        <v>13</v>
      </c>
      <c r="B34" t="s">
        <v>14</v>
      </c>
      <c r="C34">
        <v>1980</v>
      </c>
      <c r="D34">
        <v>155.36707999999999</v>
      </c>
      <c r="E34">
        <v>32.786119999999997</v>
      </c>
      <c r="F34">
        <v>0</v>
      </c>
      <c r="G34">
        <v>2.9166665000000001E-2</v>
      </c>
      <c r="H34">
        <v>4810.1367</v>
      </c>
      <c r="I34">
        <v>1977.5671</v>
      </c>
      <c r="J34">
        <v>14236.960999999999</v>
      </c>
      <c r="K34">
        <v>35568.644999999997</v>
      </c>
      <c r="L34">
        <v>20877.782999999999</v>
      </c>
      <c r="M34">
        <v>10000</v>
      </c>
      <c r="O34">
        <f>C34</f>
        <v>1980</v>
      </c>
      <c r="P34" s="1">
        <f t="shared" ref="P34:P40" si="6">0.0036*SUM(I34:M34)</f>
        <v>297.57944196</v>
      </c>
      <c r="Q34" s="1">
        <f t="shared" ref="Q34:Q40" si="7">0.0036*SUM(D34:G34)</f>
        <v>0.67745651999399981</v>
      </c>
    </row>
    <row r="35" spans="1:17" x14ac:dyDescent="0.3">
      <c r="A35" t="s">
        <v>13</v>
      </c>
      <c r="B35" t="s">
        <v>14</v>
      </c>
      <c r="C35">
        <v>1981</v>
      </c>
      <c r="D35">
        <v>167.14429000000001</v>
      </c>
      <c r="E35">
        <v>29.747923</v>
      </c>
      <c r="F35">
        <v>0</v>
      </c>
      <c r="G35">
        <v>2.9166665000000001E-2</v>
      </c>
      <c r="H35">
        <v>4913.6206000000002</v>
      </c>
      <c r="I35">
        <v>2335.4187000000002</v>
      </c>
      <c r="J35">
        <v>14395.874</v>
      </c>
      <c r="K35">
        <v>34289.96</v>
      </c>
      <c r="L35">
        <v>21158.002</v>
      </c>
      <c r="M35">
        <v>10106</v>
      </c>
      <c r="O35">
        <f>C35</f>
        <v>1981</v>
      </c>
      <c r="P35" s="1">
        <f t="shared" si="6"/>
        <v>296.22691691999995</v>
      </c>
      <c r="Q35" s="1">
        <f t="shared" si="7"/>
        <v>0.70891696679400007</v>
      </c>
    </row>
    <row r="36" spans="1:17" x14ac:dyDescent="0.3">
      <c r="A36" t="s">
        <v>13</v>
      </c>
      <c r="B36" t="s">
        <v>14</v>
      </c>
      <c r="C36">
        <v>1982</v>
      </c>
      <c r="D36">
        <v>192.84048000000001</v>
      </c>
      <c r="E36">
        <v>37.556244</v>
      </c>
      <c r="F36">
        <v>0</v>
      </c>
      <c r="G36">
        <v>5.1388886000000002E-2</v>
      </c>
      <c r="H36">
        <v>5002.5225</v>
      </c>
      <c r="I36">
        <v>2533.8263999999999</v>
      </c>
      <c r="J36">
        <v>14469.731</v>
      </c>
      <c r="K36">
        <v>33270.01</v>
      </c>
      <c r="L36">
        <v>21395.428</v>
      </c>
      <c r="M36">
        <v>10213</v>
      </c>
      <c r="O36">
        <f>C36</f>
        <v>1982</v>
      </c>
      <c r="P36" s="1">
        <f t="shared" si="6"/>
        <v>294.77518343999998</v>
      </c>
      <c r="Q36" s="1">
        <f t="shared" si="7"/>
        <v>0.82961320638960001</v>
      </c>
    </row>
    <row r="37" spans="1:17" x14ac:dyDescent="0.3">
      <c r="A37" t="s">
        <v>13</v>
      </c>
      <c r="B37" t="s">
        <v>14</v>
      </c>
      <c r="C37">
        <v>1983</v>
      </c>
      <c r="D37">
        <v>213.60915</v>
      </c>
      <c r="E37">
        <v>49.019240000000003</v>
      </c>
      <c r="F37">
        <v>8.3333330000000001E-3</v>
      </c>
      <c r="G37">
        <v>9.1097079999999997E-2</v>
      </c>
      <c r="H37">
        <v>5216.0244000000002</v>
      </c>
      <c r="I37">
        <v>2871.7020000000002</v>
      </c>
      <c r="J37">
        <v>14703.826999999999</v>
      </c>
      <c r="K37">
        <v>33097.43</v>
      </c>
      <c r="L37">
        <v>22050.973000000002</v>
      </c>
      <c r="M37">
        <v>10321</v>
      </c>
      <c r="O37">
        <f>C37</f>
        <v>1983</v>
      </c>
      <c r="P37" s="1">
        <f t="shared" si="6"/>
        <v>298.96175519999997</v>
      </c>
      <c r="Q37" s="1">
        <f t="shared" si="7"/>
        <v>0.94582015348680004</v>
      </c>
    </row>
    <row r="38" spans="1:17" x14ac:dyDescent="0.3">
      <c r="A38" t="s">
        <v>13</v>
      </c>
      <c r="B38" t="s">
        <v>14</v>
      </c>
      <c r="C38">
        <v>1984</v>
      </c>
      <c r="D38">
        <v>238.58172999999999</v>
      </c>
      <c r="E38">
        <v>57.806426999999999</v>
      </c>
      <c r="F38">
        <v>1.7530864E-2</v>
      </c>
      <c r="G38">
        <v>0.124320984</v>
      </c>
      <c r="H38">
        <v>5392.7035999999998</v>
      </c>
      <c r="I38">
        <v>3484.9124000000002</v>
      </c>
      <c r="J38">
        <v>15902.675999999999</v>
      </c>
      <c r="K38">
        <v>33623.599999999999</v>
      </c>
      <c r="L38">
        <v>23008.44</v>
      </c>
      <c r="M38">
        <v>10430</v>
      </c>
      <c r="O38">
        <f>C38</f>
        <v>1984</v>
      </c>
      <c r="P38" s="1">
        <f t="shared" si="6"/>
        <v>311.21866224000001</v>
      </c>
      <c r="Q38" s="1">
        <f t="shared" si="7"/>
        <v>1.0675080318527999</v>
      </c>
    </row>
    <row r="39" spans="1:17" x14ac:dyDescent="0.3">
      <c r="A39" t="s">
        <v>13</v>
      </c>
      <c r="B39" t="s">
        <v>14</v>
      </c>
      <c r="C39">
        <v>1985</v>
      </c>
      <c r="D39">
        <v>245.94556</v>
      </c>
      <c r="E39">
        <v>68.410094999999998</v>
      </c>
      <c r="F39">
        <v>3.2631873999999998E-2</v>
      </c>
      <c r="G39">
        <v>0.17838944000000001</v>
      </c>
      <c r="H39">
        <v>5497.8990000000003</v>
      </c>
      <c r="I39">
        <v>4135.893</v>
      </c>
      <c r="J39">
        <v>16262.218000000001</v>
      </c>
      <c r="K39">
        <v>33684.684000000001</v>
      </c>
      <c r="L39">
        <v>23996.738000000001</v>
      </c>
      <c r="M39">
        <v>10541</v>
      </c>
      <c r="O39">
        <f>C39</f>
        <v>1985</v>
      </c>
      <c r="P39" s="1">
        <f t="shared" si="6"/>
        <v>319.03391879999998</v>
      </c>
      <c r="Q39" s="1">
        <f t="shared" si="7"/>
        <v>1.1324400347304</v>
      </c>
    </row>
    <row r="40" spans="1:17" x14ac:dyDescent="0.3">
      <c r="A40" t="s">
        <v>13</v>
      </c>
      <c r="B40" t="s">
        <v>14</v>
      </c>
      <c r="C40">
        <v>1986</v>
      </c>
      <c r="D40">
        <v>267.01056</v>
      </c>
      <c r="E40">
        <v>84.202995000000001</v>
      </c>
      <c r="F40">
        <v>4.2177327000000001E-2</v>
      </c>
      <c r="G40">
        <v>0.38564252999999998</v>
      </c>
      <c r="H40">
        <v>5572.4250000000002</v>
      </c>
      <c r="I40">
        <v>4429.8212999999996</v>
      </c>
      <c r="J40">
        <v>16421.107</v>
      </c>
      <c r="K40">
        <v>34710.476999999999</v>
      </c>
      <c r="L40">
        <v>24263.817999999999</v>
      </c>
      <c r="M40">
        <v>10653</v>
      </c>
      <c r="O40">
        <f>C40</f>
        <v>1986</v>
      </c>
      <c r="P40" s="1">
        <f t="shared" si="6"/>
        <v>325.72160387999998</v>
      </c>
      <c r="Q40" s="1">
        <f t="shared" si="7"/>
        <v>1.2659089494851998</v>
      </c>
    </row>
    <row r="41" spans="1:17" x14ac:dyDescent="0.3">
      <c r="A41" t="s">
        <v>13</v>
      </c>
      <c r="B41" t="s">
        <v>14</v>
      </c>
      <c r="C41">
        <v>1987</v>
      </c>
      <c r="D41">
        <v>285.98757999999998</v>
      </c>
      <c r="E41">
        <v>85.330119999999994</v>
      </c>
      <c r="F41">
        <v>2.9452860000000001E-2</v>
      </c>
      <c r="G41">
        <v>0.54271320000000001</v>
      </c>
      <c r="H41">
        <v>5647.7563</v>
      </c>
      <c r="I41">
        <v>4818.7030000000004</v>
      </c>
      <c r="J41">
        <v>17281.893</v>
      </c>
      <c r="K41">
        <v>35508.195</v>
      </c>
      <c r="L41">
        <v>25228.488000000001</v>
      </c>
      <c r="M41">
        <v>10765</v>
      </c>
      <c r="O41">
        <f>C41</f>
        <v>1987</v>
      </c>
      <c r="P41" s="1">
        <f>0.0036*SUM(I41:M41)</f>
        <v>336.96820439999999</v>
      </c>
      <c r="Q41" s="1">
        <f>0.0036*SUM(D41:G41)</f>
        <v>1.3388035178159996</v>
      </c>
    </row>
    <row r="42" spans="1:17" x14ac:dyDescent="0.3">
      <c r="A42" t="s">
        <v>13</v>
      </c>
      <c r="B42" t="s">
        <v>14</v>
      </c>
      <c r="C42">
        <v>1988</v>
      </c>
      <c r="D42">
        <v>294.25283999999999</v>
      </c>
      <c r="E42">
        <v>89.560199999999995</v>
      </c>
      <c r="F42">
        <v>2.8322107999999999E-2</v>
      </c>
      <c r="G42">
        <v>0.92105495999999998</v>
      </c>
      <c r="H42">
        <v>5828.7466000000004</v>
      </c>
      <c r="I42">
        <v>5253.47</v>
      </c>
      <c r="J42">
        <v>18088.844000000001</v>
      </c>
      <c r="K42">
        <v>36641.938000000002</v>
      </c>
      <c r="L42">
        <v>25983.08</v>
      </c>
      <c r="M42">
        <v>10879</v>
      </c>
      <c r="O42">
        <f>C42</f>
        <v>1988</v>
      </c>
      <c r="P42" s="1">
        <f t="shared" ref="P42:P52" si="8">0.0036*SUM(I42:M42)</f>
        <v>348.64679520000004</v>
      </c>
      <c r="Q42" s="1">
        <f t="shared" ref="Q42:Q52" si="9">0.0036*SUM(D42:G42)</f>
        <v>1.3851447014448</v>
      </c>
    </row>
    <row r="43" spans="1:17" x14ac:dyDescent="0.3">
      <c r="A43" t="s">
        <v>13</v>
      </c>
      <c r="B43" t="s">
        <v>14</v>
      </c>
      <c r="C43">
        <v>1989</v>
      </c>
      <c r="D43">
        <v>327.10113999999999</v>
      </c>
      <c r="E43">
        <v>95.689239999999998</v>
      </c>
      <c r="F43">
        <v>0.72839785000000001</v>
      </c>
      <c r="G43">
        <v>7.3604903000000004</v>
      </c>
      <c r="H43">
        <v>5798.8525</v>
      </c>
      <c r="I43">
        <v>5402.8069999999998</v>
      </c>
      <c r="J43">
        <v>18888.648000000001</v>
      </c>
      <c r="K43">
        <v>37215.688000000002</v>
      </c>
      <c r="L43">
        <v>26231.048999999999</v>
      </c>
      <c r="M43">
        <v>10995</v>
      </c>
      <c r="O43">
        <f>C43</f>
        <v>1989</v>
      </c>
      <c r="P43" s="1">
        <f t="shared" si="8"/>
        <v>355.43949120000002</v>
      </c>
      <c r="Q43" s="1">
        <f t="shared" si="9"/>
        <v>1.5511653653399999</v>
      </c>
    </row>
    <row r="44" spans="1:17" x14ac:dyDescent="0.3">
      <c r="A44" t="s">
        <v>13</v>
      </c>
      <c r="B44" t="s">
        <v>14</v>
      </c>
      <c r="C44">
        <v>1990</v>
      </c>
      <c r="D44">
        <v>366.32607999999999</v>
      </c>
      <c r="E44">
        <v>106.56910999999999</v>
      </c>
      <c r="F44">
        <v>1.0784720999999999</v>
      </c>
      <c r="G44">
        <v>10.090196000000001</v>
      </c>
      <c r="H44">
        <v>5996.1724000000004</v>
      </c>
      <c r="I44">
        <v>5557.2110000000002</v>
      </c>
      <c r="J44">
        <v>19481.150000000001</v>
      </c>
      <c r="K44">
        <v>37906.815999999999</v>
      </c>
      <c r="L44">
        <v>25928.912</v>
      </c>
      <c r="M44">
        <v>11111</v>
      </c>
      <c r="O44">
        <f>C44</f>
        <v>1990</v>
      </c>
      <c r="P44" s="1">
        <f t="shared" si="8"/>
        <v>359.94632039999999</v>
      </c>
      <c r="Q44" s="1">
        <f t="shared" si="9"/>
        <v>1.7426298891599998</v>
      </c>
    </row>
    <row r="45" spans="1:17" x14ac:dyDescent="0.3">
      <c r="A45" t="s">
        <v>13</v>
      </c>
      <c r="B45" t="s">
        <v>14</v>
      </c>
      <c r="C45">
        <v>1991</v>
      </c>
      <c r="D45">
        <v>382.07249999999999</v>
      </c>
      <c r="E45">
        <v>110.64682999999999</v>
      </c>
      <c r="F45">
        <v>1.4033967000000001</v>
      </c>
      <c r="G45">
        <v>11.350296</v>
      </c>
      <c r="H45">
        <v>6134.8446999999996</v>
      </c>
      <c r="I45">
        <v>5823.0825000000004</v>
      </c>
      <c r="J45">
        <v>19972.838</v>
      </c>
      <c r="K45">
        <v>37876.832000000002</v>
      </c>
      <c r="L45">
        <v>25686.726999999999</v>
      </c>
      <c r="M45">
        <v>11243</v>
      </c>
      <c r="O45">
        <f>C45</f>
        <v>1991</v>
      </c>
      <c r="P45" s="1">
        <f t="shared" si="8"/>
        <v>362.16892619999999</v>
      </c>
      <c r="Q45" s="1">
        <f t="shared" si="9"/>
        <v>1.8197028817200001</v>
      </c>
    </row>
    <row r="46" spans="1:17" x14ac:dyDescent="0.3">
      <c r="A46" t="s">
        <v>13</v>
      </c>
      <c r="B46" t="s">
        <v>14</v>
      </c>
      <c r="C46">
        <v>1992</v>
      </c>
      <c r="D46">
        <v>409.87473</v>
      </c>
      <c r="E46">
        <v>108.705635</v>
      </c>
      <c r="F46">
        <v>1.2960529999999999</v>
      </c>
      <c r="G46">
        <v>13.146699</v>
      </c>
      <c r="H46">
        <v>6134.2070000000003</v>
      </c>
      <c r="I46">
        <v>5867.2856000000002</v>
      </c>
      <c r="J46">
        <v>20063.482</v>
      </c>
      <c r="K46">
        <v>38404.773000000001</v>
      </c>
      <c r="L46">
        <v>25584.3</v>
      </c>
      <c r="M46">
        <v>11376</v>
      </c>
      <c r="O46">
        <f>C46</f>
        <v>1992</v>
      </c>
      <c r="P46" s="1">
        <f t="shared" si="8"/>
        <v>364.66502615999997</v>
      </c>
      <c r="Q46" s="1">
        <f t="shared" si="9"/>
        <v>1.9188832212000002</v>
      </c>
    </row>
    <row r="47" spans="1:17" x14ac:dyDescent="0.3">
      <c r="A47" t="s">
        <v>13</v>
      </c>
      <c r="B47" t="s">
        <v>14</v>
      </c>
      <c r="C47">
        <v>1993</v>
      </c>
      <c r="D47">
        <v>423.37765999999999</v>
      </c>
      <c r="E47">
        <v>114.34005999999999</v>
      </c>
      <c r="F47">
        <v>1.5463264000000001</v>
      </c>
      <c r="G47">
        <v>15.844913</v>
      </c>
      <c r="H47">
        <v>6503.6679999999997</v>
      </c>
      <c r="I47">
        <v>6069.3456999999999</v>
      </c>
      <c r="J47">
        <v>20265.482</v>
      </c>
      <c r="K47">
        <v>38246.241999999998</v>
      </c>
      <c r="L47">
        <v>25708.831999999999</v>
      </c>
      <c r="M47">
        <v>11511</v>
      </c>
      <c r="O47">
        <f>C47</f>
        <v>1993</v>
      </c>
      <c r="P47" s="1">
        <f t="shared" si="8"/>
        <v>366.48324611999999</v>
      </c>
      <c r="Q47" s="1">
        <f t="shared" si="9"/>
        <v>1.9983922538399999</v>
      </c>
    </row>
    <row r="48" spans="1:17" x14ac:dyDescent="0.3">
      <c r="A48" t="s">
        <v>13</v>
      </c>
      <c r="B48" t="s">
        <v>14</v>
      </c>
      <c r="C48">
        <v>1994</v>
      </c>
      <c r="D48">
        <v>439.61696999999998</v>
      </c>
      <c r="E48">
        <v>124.101776</v>
      </c>
      <c r="F48">
        <v>1.6582857</v>
      </c>
      <c r="G48">
        <v>19.810359999999999</v>
      </c>
      <c r="H48">
        <v>6544.1815999999999</v>
      </c>
      <c r="I48">
        <v>6183.2740000000003</v>
      </c>
      <c r="J48">
        <v>20389.613000000001</v>
      </c>
      <c r="K48">
        <v>39068.175999999999</v>
      </c>
      <c r="L48">
        <v>25815.187999999998</v>
      </c>
      <c r="M48">
        <v>11647</v>
      </c>
      <c r="O48">
        <f>C48</f>
        <v>1994</v>
      </c>
      <c r="P48" s="1">
        <f t="shared" si="8"/>
        <v>371.17170359999994</v>
      </c>
      <c r="Q48" s="1">
        <f t="shared" si="9"/>
        <v>2.1066746101199998</v>
      </c>
    </row>
    <row r="49" spans="1:17" x14ac:dyDescent="0.3">
      <c r="A49" t="s">
        <v>13</v>
      </c>
      <c r="B49" t="s">
        <v>14</v>
      </c>
      <c r="C49">
        <v>1995</v>
      </c>
      <c r="D49">
        <v>458.25740000000002</v>
      </c>
      <c r="E49">
        <v>131.07040000000001</v>
      </c>
      <c r="F49">
        <v>1.7746743</v>
      </c>
      <c r="G49">
        <v>22.978119</v>
      </c>
      <c r="H49">
        <v>6898.3022000000001</v>
      </c>
      <c r="I49">
        <v>6451.4709999999995</v>
      </c>
      <c r="J49">
        <v>21104.491999999998</v>
      </c>
      <c r="K49">
        <v>39666.370000000003</v>
      </c>
      <c r="L49">
        <v>25999.217000000001</v>
      </c>
      <c r="M49">
        <v>11785</v>
      </c>
      <c r="O49">
        <f>C49</f>
        <v>1995</v>
      </c>
      <c r="P49" s="1">
        <f t="shared" si="8"/>
        <v>378.02357999999998</v>
      </c>
      <c r="Q49" s="1">
        <f t="shared" si="9"/>
        <v>2.2106901358800002</v>
      </c>
    </row>
    <row r="50" spans="1:17" x14ac:dyDescent="0.3">
      <c r="A50" t="s">
        <v>13</v>
      </c>
      <c r="B50" t="s">
        <v>14</v>
      </c>
      <c r="C50">
        <v>1996</v>
      </c>
      <c r="D50">
        <v>470.94907000000001</v>
      </c>
      <c r="E50">
        <v>125.784515</v>
      </c>
      <c r="F50">
        <v>1.9423052999999999</v>
      </c>
      <c r="G50">
        <v>25.598890000000001</v>
      </c>
      <c r="H50">
        <v>6991.1522999999997</v>
      </c>
      <c r="I50">
        <v>6685.0415000000003</v>
      </c>
      <c r="J50">
        <v>22159.254000000001</v>
      </c>
      <c r="K50">
        <v>40576.629999999997</v>
      </c>
      <c r="L50">
        <v>26617.482</v>
      </c>
      <c r="M50">
        <v>11925</v>
      </c>
      <c r="O50">
        <f>C50</f>
        <v>1996</v>
      </c>
      <c r="P50" s="1">
        <f t="shared" si="8"/>
        <v>388.66826700000001</v>
      </c>
      <c r="Q50" s="1">
        <f t="shared" si="9"/>
        <v>2.2473892090800001</v>
      </c>
    </row>
    <row r="51" spans="1:17" x14ac:dyDescent="0.3">
      <c r="A51" t="s">
        <v>13</v>
      </c>
      <c r="B51" t="s">
        <v>14</v>
      </c>
      <c r="C51">
        <v>1997</v>
      </c>
      <c r="D51">
        <v>504.41165000000001</v>
      </c>
      <c r="E51">
        <v>130.03065000000001</v>
      </c>
      <c r="F51">
        <v>2.0823771999999998</v>
      </c>
      <c r="G51">
        <v>33.411712999999999</v>
      </c>
      <c r="H51">
        <v>7114.8765000000003</v>
      </c>
      <c r="I51">
        <v>6639.067</v>
      </c>
      <c r="J51">
        <v>22030.393</v>
      </c>
      <c r="K51">
        <v>41652.086000000003</v>
      </c>
      <c r="L51">
        <v>26563.252</v>
      </c>
      <c r="M51">
        <v>12066</v>
      </c>
      <c r="O51">
        <f>C51</f>
        <v>1997</v>
      </c>
      <c r="P51" s="1">
        <f t="shared" si="8"/>
        <v>392.2228728</v>
      </c>
      <c r="Q51" s="1">
        <f t="shared" si="9"/>
        <v>2.4117710047199998</v>
      </c>
    </row>
    <row r="52" spans="1:17" x14ac:dyDescent="0.3">
      <c r="A52" t="s">
        <v>13</v>
      </c>
      <c r="B52" t="s">
        <v>14</v>
      </c>
      <c r="C52">
        <v>1998</v>
      </c>
      <c r="D52">
        <v>525.67939999999999</v>
      </c>
      <c r="E52">
        <v>133.38396</v>
      </c>
      <c r="F52">
        <v>2.2551443999999998</v>
      </c>
      <c r="G52">
        <v>44.247943999999997</v>
      </c>
      <c r="H52">
        <v>7169.259</v>
      </c>
      <c r="I52">
        <v>6753.3190000000004</v>
      </c>
      <c r="J52">
        <v>22434</v>
      </c>
      <c r="K52">
        <v>41788.616999999998</v>
      </c>
      <c r="L52">
        <v>26395.965</v>
      </c>
      <c r="M52">
        <v>12209</v>
      </c>
      <c r="O52">
        <f>C52</f>
        <v>1998</v>
      </c>
      <c r="P52" s="1">
        <f t="shared" si="8"/>
        <v>394.49124359999996</v>
      </c>
      <c r="Q52" s="1">
        <f t="shared" si="9"/>
        <v>2.5400392142399997</v>
      </c>
    </row>
    <row r="53" spans="1:17" x14ac:dyDescent="0.3">
      <c r="A53" t="s">
        <v>13</v>
      </c>
      <c r="B53" t="s">
        <v>14</v>
      </c>
      <c r="C53">
        <v>1999</v>
      </c>
      <c r="D53">
        <v>552.02520000000004</v>
      </c>
      <c r="E53">
        <v>135.24735999999999</v>
      </c>
      <c r="F53">
        <v>2.5146885000000001</v>
      </c>
      <c r="G53">
        <v>58.963603999999997</v>
      </c>
      <c r="H53">
        <v>7223.5240000000003</v>
      </c>
      <c r="I53">
        <v>7010.2929999999997</v>
      </c>
      <c r="J53">
        <v>23071.903999999999</v>
      </c>
      <c r="K53">
        <v>42435.785000000003</v>
      </c>
      <c r="L53">
        <v>26508.807000000001</v>
      </c>
      <c r="M53">
        <v>12414</v>
      </c>
      <c r="O53">
        <f>C53</f>
        <v>1999</v>
      </c>
      <c r="P53" s="1">
        <f>0.0036*SUM(I53:M53)</f>
        <v>401.18684039999999</v>
      </c>
      <c r="Q53" s="1">
        <f>0.0036*SUM(D53:G53)</f>
        <v>2.6955030690000004</v>
      </c>
    </row>
    <row r="54" spans="1:17" x14ac:dyDescent="0.3">
      <c r="A54" t="s">
        <v>13</v>
      </c>
      <c r="B54" t="s">
        <v>14</v>
      </c>
      <c r="C54">
        <v>2000</v>
      </c>
      <c r="D54">
        <v>577.87819999999999</v>
      </c>
      <c r="E54">
        <v>132.50877</v>
      </c>
      <c r="F54">
        <v>2.9392529000000001</v>
      </c>
      <c r="G54">
        <v>87.248739999999998</v>
      </c>
      <c r="H54">
        <v>7351.8926000000001</v>
      </c>
      <c r="I54">
        <v>7168.5204999999996</v>
      </c>
      <c r="J54">
        <v>23994.258000000002</v>
      </c>
      <c r="K54">
        <v>43016.63</v>
      </c>
      <c r="L54">
        <v>27456.373</v>
      </c>
      <c r="M54">
        <v>12500</v>
      </c>
      <c r="O54">
        <f>C54</f>
        <v>2000</v>
      </c>
      <c r="P54" s="1">
        <f t="shared" ref="P54:P78" si="10">0.0036*SUM(I54:M54)</f>
        <v>410.88881339999995</v>
      </c>
      <c r="Q54" s="1">
        <f t="shared" ref="Q54:Q78" si="11">0.0036*SUM(D54:G54)</f>
        <v>2.8820698664400002</v>
      </c>
    </row>
    <row r="55" spans="1:17" x14ac:dyDescent="0.3">
      <c r="A55" t="s">
        <v>13</v>
      </c>
      <c r="B55" t="s">
        <v>14</v>
      </c>
      <c r="C55">
        <v>2001</v>
      </c>
      <c r="D55">
        <v>600.23540000000003</v>
      </c>
      <c r="E55">
        <v>131.42493999999999</v>
      </c>
      <c r="F55">
        <v>3.9282083999999999</v>
      </c>
      <c r="G55">
        <v>106.02212</v>
      </c>
      <c r="H55">
        <v>7123.2290000000003</v>
      </c>
      <c r="I55">
        <v>7330.2120000000004</v>
      </c>
      <c r="J55">
        <v>24316.831999999999</v>
      </c>
      <c r="K55">
        <v>43398.32</v>
      </c>
      <c r="L55">
        <v>27880.072</v>
      </c>
      <c r="M55">
        <v>12500</v>
      </c>
      <c r="O55">
        <f>C55</f>
        <v>2001</v>
      </c>
      <c r="P55" s="1">
        <f t="shared" si="10"/>
        <v>415.53156960000001</v>
      </c>
      <c r="Q55" s="1">
        <f t="shared" si="11"/>
        <v>3.0297984062399999</v>
      </c>
    </row>
    <row r="56" spans="1:17" x14ac:dyDescent="0.3">
      <c r="A56" t="s">
        <v>13</v>
      </c>
      <c r="B56" t="s">
        <v>14</v>
      </c>
      <c r="C56">
        <v>2002</v>
      </c>
      <c r="D56">
        <v>646.15560000000005</v>
      </c>
      <c r="E56">
        <v>149.31460000000001</v>
      </c>
      <c r="F56">
        <v>4.9233273999999998</v>
      </c>
      <c r="G56">
        <v>143.51175000000001</v>
      </c>
      <c r="H56">
        <v>7194.9184999999998</v>
      </c>
      <c r="I56">
        <v>7386.15</v>
      </c>
      <c r="J56">
        <v>25051.928</v>
      </c>
      <c r="K56">
        <v>43697.09</v>
      </c>
      <c r="L56">
        <v>28982.217000000001</v>
      </c>
      <c r="M56">
        <v>12470</v>
      </c>
      <c r="O56">
        <f>C56</f>
        <v>2002</v>
      </c>
      <c r="P56" s="1">
        <f t="shared" si="10"/>
        <v>423.31458600000002</v>
      </c>
      <c r="Q56" s="1">
        <f t="shared" si="11"/>
        <v>3.3980589986400003</v>
      </c>
    </row>
    <row r="57" spans="1:17" x14ac:dyDescent="0.3">
      <c r="A57" t="s">
        <v>13</v>
      </c>
      <c r="B57" t="s">
        <v>14</v>
      </c>
      <c r="C57">
        <v>2003</v>
      </c>
      <c r="D57">
        <v>682.59862999999996</v>
      </c>
      <c r="E57">
        <v>168.93165999999999</v>
      </c>
      <c r="F57">
        <v>6.1376122999999998</v>
      </c>
      <c r="G57">
        <v>172.43762000000001</v>
      </c>
      <c r="H57">
        <v>7146.9575000000004</v>
      </c>
      <c r="I57">
        <v>7197.0586000000003</v>
      </c>
      <c r="J57">
        <v>25727.734</v>
      </c>
      <c r="K57">
        <v>44610.883000000002</v>
      </c>
      <c r="L57">
        <v>31519.594000000001</v>
      </c>
      <c r="M57">
        <v>12329</v>
      </c>
      <c r="O57">
        <f>C57</f>
        <v>2003</v>
      </c>
      <c r="P57" s="1">
        <f t="shared" si="10"/>
        <v>436.98337055999997</v>
      </c>
      <c r="Q57" s="1">
        <f t="shared" si="11"/>
        <v>3.7083798802799994</v>
      </c>
    </row>
    <row r="58" spans="1:17" x14ac:dyDescent="0.3">
      <c r="A58" t="s">
        <v>13</v>
      </c>
      <c r="B58" t="s">
        <v>14</v>
      </c>
      <c r="C58">
        <v>2004</v>
      </c>
      <c r="D58">
        <v>737.75699999999995</v>
      </c>
      <c r="E58">
        <v>201.20049</v>
      </c>
      <c r="F58">
        <v>8.0436549999999993</v>
      </c>
      <c r="G58">
        <v>232.02816999999999</v>
      </c>
      <c r="H58">
        <v>7632.875</v>
      </c>
      <c r="I58">
        <v>7483.3584000000001</v>
      </c>
      <c r="J58">
        <v>26781.62</v>
      </c>
      <c r="K58">
        <v>46413.184000000001</v>
      </c>
      <c r="L58">
        <v>33708.972999999998</v>
      </c>
      <c r="M58">
        <v>12160</v>
      </c>
      <c r="O58">
        <f>C58</f>
        <v>2004</v>
      </c>
      <c r="P58" s="1">
        <f t="shared" si="10"/>
        <v>455.56968744</v>
      </c>
      <c r="Q58" s="1">
        <f t="shared" si="11"/>
        <v>4.244505534</v>
      </c>
    </row>
    <row r="59" spans="1:17" x14ac:dyDescent="0.3">
      <c r="A59" t="s">
        <v>13</v>
      </c>
      <c r="B59" t="s">
        <v>14</v>
      </c>
      <c r="C59">
        <v>2005</v>
      </c>
      <c r="D59">
        <v>798.36126999999999</v>
      </c>
      <c r="E59">
        <v>234.4752</v>
      </c>
      <c r="F59">
        <v>11.242224</v>
      </c>
      <c r="G59">
        <v>281.25607000000002</v>
      </c>
      <c r="H59">
        <v>7825.9549999999999</v>
      </c>
      <c r="I59">
        <v>7442.4880000000003</v>
      </c>
      <c r="J59">
        <v>27439.224999999999</v>
      </c>
      <c r="K59">
        <v>47016.887000000002</v>
      </c>
      <c r="L59">
        <v>36200.953000000001</v>
      </c>
      <c r="M59">
        <v>12076</v>
      </c>
      <c r="O59">
        <f>C59</f>
        <v>2005</v>
      </c>
      <c r="P59" s="1">
        <f t="shared" si="10"/>
        <v>468.63199080000004</v>
      </c>
      <c r="Q59" s="1">
        <f t="shared" si="11"/>
        <v>4.7712051504000002</v>
      </c>
    </row>
    <row r="60" spans="1:17" x14ac:dyDescent="0.3">
      <c r="A60" t="s">
        <v>13</v>
      </c>
      <c r="B60" t="s">
        <v>14</v>
      </c>
      <c r="C60">
        <v>2006</v>
      </c>
      <c r="D60">
        <v>850.21550000000002</v>
      </c>
      <c r="E60">
        <v>294.60196000000002</v>
      </c>
      <c r="F60">
        <v>15.387916000000001</v>
      </c>
      <c r="G60">
        <v>356.95940000000002</v>
      </c>
      <c r="H60">
        <v>8080.835</v>
      </c>
      <c r="I60">
        <v>7494.9477999999999</v>
      </c>
      <c r="J60">
        <v>28171.708999999999</v>
      </c>
      <c r="K60">
        <v>47436.953000000001</v>
      </c>
      <c r="L60">
        <v>38087.040000000001</v>
      </c>
      <c r="M60">
        <v>11993</v>
      </c>
      <c r="O60">
        <f>C60</f>
        <v>2006</v>
      </c>
      <c r="P60" s="1">
        <f t="shared" si="10"/>
        <v>479.46113928000005</v>
      </c>
      <c r="Q60" s="1">
        <f t="shared" si="11"/>
        <v>5.4617931935999993</v>
      </c>
    </row>
    <row r="61" spans="1:17" x14ac:dyDescent="0.3">
      <c r="A61" t="s">
        <v>13</v>
      </c>
      <c r="B61" t="s">
        <v>14</v>
      </c>
      <c r="C61">
        <v>2007</v>
      </c>
      <c r="D61">
        <v>922.81510000000003</v>
      </c>
      <c r="E61">
        <v>391.65219999999999</v>
      </c>
      <c r="F61">
        <v>20.759594</v>
      </c>
      <c r="G61">
        <v>456.12923999999998</v>
      </c>
      <c r="H61">
        <v>8171.3029999999999</v>
      </c>
      <c r="I61">
        <v>7303.1059999999998</v>
      </c>
      <c r="J61">
        <v>29338.285</v>
      </c>
      <c r="K61">
        <v>48087.519999999997</v>
      </c>
      <c r="L61">
        <v>40241.703000000001</v>
      </c>
      <c r="M61">
        <v>11911</v>
      </c>
      <c r="O61">
        <f>C61</f>
        <v>2007</v>
      </c>
      <c r="P61" s="1">
        <f t="shared" si="10"/>
        <v>492.7738104</v>
      </c>
      <c r="Q61" s="1">
        <f t="shared" si="11"/>
        <v>6.4488820823999999</v>
      </c>
    </row>
    <row r="62" spans="1:17" x14ac:dyDescent="0.3">
      <c r="A62" t="s">
        <v>13</v>
      </c>
      <c r="B62" t="s">
        <v>14</v>
      </c>
      <c r="C62">
        <v>2008</v>
      </c>
      <c r="D62">
        <v>987.2903</v>
      </c>
      <c r="E62">
        <v>535.94213999999999</v>
      </c>
      <c r="F62">
        <v>33.458039999999997</v>
      </c>
      <c r="G62">
        <v>584.20165999999995</v>
      </c>
      <c r="H62">
        <v>8579.4009999999998</v>
      </c>
      <c r="I62">
        <v>7222.835</v>
      </c>
      <c r="J62">
        <v>30050.745999999999</v>
      </c>
      <c r="K62">
        <v>47692.652000000002</v>
      </c>
      <c r="L62">
        <v>40796.644999999997</v>
      </c>
      <c r="M62">
        <v>11829</v>
      </c>
      <c r="O62">
        <f>C62</f>
        <v>2008</v>
      </c>
      <c r="P62" s="1">
        <f t="shared" si="10"/>
        <v>495.33076079999995</v>
      </c>
      <c r="Q62" s="1">
        <f t="shared" si="11"/>
        <v>7.7072117039999997</v>
      </c>
    </row>
    <row r="63" spans="1:17" x14ac:dyDescent="0.3">
      <c r="A63" t="s">
        <v>13</v>
      </c>
      <c r="B63" t="s">
        <v>14</v>
      </c>
      <c r="C63">
        <v>2009</v>
      </c>
      <c r="D63">
        <v>1056.9937</v>
      </c>
      <c r="E63">
        <v>600.63549999999998</v>
      </c>
      <c r="F63">
        <v>55.273674</v>
      </c>
      <c r="G63">
        <v>726.50214000000005</v>
      </c>
      <c r="H63">
        <v>8520.5609999999997</v>
      </c>
      <c r="I63">
        <v>7083.2520000000004</v>
      </c>
      <c r="J63">
        <v>29403.605</v>
      </c>
      <c r="K63">
        <v>46633.97</v>
      </c>
      <c r="L63">
        <v>40219.008000000002</v>
      </c>
      <c r="M63">
        <v>11747</v>
      </c>
      <c r="O63">
        <f>C63</f>
        <v>2009</v>
      </c>
      <c r="P63" s="1">
        <f t="shared" si="10"/>
        <v>486.31260600000007</v>
      </c>
      <c r="Q63" s="1">
        <f t="shared" si="11"/>
        <v>8.7818580504000003</v>
      </c>
    </row>
    <row r="64" spans="1:17" x14ac:dyDescent="0.3">
      <c r="A64" t="s">
        <v>13</v>
      </c>
      <c r="B64" t="s">
        <v>14</v>
      </c>
      <c r="C64">
        <v>2010</v>
      </c>
      <c r="D64">
        <v>1182.4408000000001</v>
      </c>
      <c r="E64">
        <v>678.90075999999999</v>
      </c>
      <c r="F64">
        <v>88.336429999999993</v>
      </c>
      <c r="G64">
        <v>902.10693000000003</v>
      </c>
      <c r="H64">
        <v>8932.5849999999991</v>
      </c>
      <c r="I64">
        <v>7209.0225</v>
      </c>
      <c r="J64">
        <v>31592.870999999999</v>
      </c>
      <c r="K64">
        <v>48192.542999999998</v>
      </c>
      <c r="L64">
        <v>42016.016000000003</v>
      </c>
      <c r="M64">
        <v>11667</v>
      </c>
      <c r="O64">
        <f>C64</f>
        <v>2010</v>
      </c>
      <c r="P64" s="1">
        <f t="shared" si="10"/>
        <v>506.43882900000006</v>
      </c>
      <c r="Q64" s="1">
        <f t="shared" si="11"/>
        <v>10.266425712</v>
      </c>
    </row>
    <row r="65" spans="1:17" x14ac:dyDescent="0.3">
      <c r="A65" t="s">
        <v>13</v>
      </c>
      <c r="B65" t="s">
        <v>14</v>
      </c>
      <c r="C65">
        <v>2011</v>
      </c>
      <c r="D65">
        <v>1240.7429</v>
      </c>
      <c r="E65">
        <v>717.31209999999999</v>
      </c>
      <c r="F65">
        <v>170.31993</v>
      </c>
      <c r="G65">
        <v>1142.2965999999999</v>
      </c>
      <c r="H65">
        <v>9048.125</v>
      </c>
      <c r="I65">
        <v>6871.5703000000003</v>
      </c>
      <c r="J65">
        <v>32349.884999999998</v>
      </c>
      <c r="K65">
        <v>48578.273000000001</v>
      </c>
      <c r="L65">
        <v>43983.35</v>
      </c>
      <c r="M65">
        <v>11553</v>
      </c>
      <c r="O65">
        <f>C65</f>
        <v>2011</v>
      </c>
      <c r="P65" s="1">
        <f t="shared" si="10"/>
        <v>516.00988187999997</v>
      </c>
      <c r="Q65" s="1">
        <f t="shared" si="11"/>
        <v>11.774417507999999</v>
      </c>
    </row>
    <row r="66" spans="1:17" x14ac:dyDescent="0.3">
      <c r="A66" t="s">
        <v>13</v>
      </c>
      <c r="B66" t="s">
        <v>14</v>
      </c>
      <c r="C66">
        <v>2012</v>
      </c>
      <c r="D66">
        <v>1339.8479</v>
      </c>
      <c r="E66">
        <v>746.39513999999997</v>
      </c>
      <c r="F66">
        <v>261.63909999999998</v>
      </c>
      <c r="G66">
        <v>1368.0691999999999</v>
      </c>
      <c r="H66">
        <v>9385.1389999999992</v>
      </c>
      <c r="I66">
        <v>6367.3774000000003</v>
      </c>
      <c r="J66">
        <v>33246.438000000002</v>
      </c>
      <c r="K66">
        <v>49362.21</v>
      </c>
      <c r="L66">
        <v>44098.684000000001</v>
      </c>
      <c r="M66">
        <v>11441</v>
      </c>
      <c r="O66">
        <f>C66</f>
        <v>2012</v>
      </c>
      <c r="P66" s="1">
        <f t="shared" si="10"/>
        <v>520.25655383999992</v>
      </c>
      <c r="Q66" s="1">
        <f t="shared" si="11"/>
        <v>13.377424823999998</v>
      </c>
    </row>
    <row r="67" spans="1:17" x14ac:dyDescent="0.3">
      <c r="A67" t="s">
        <v>13</v>
      </c>
      <c r="B67" t="s">
        <v>14</v>
      </c>
      <c r="C67">
        <v>2013</v>
      </c>
      <c r="D67">
        <v>1441.8063999999999</v>
      </c>
      <c r="E67">
        <v>818.51044000000002</v>
      </c>
      <c r="F67">
        <v>354.49993999999998</v>
      </c>
      <c r="G67">
        <v>1626.221</v>
      </c>
      <c r="H67">
        <v>9687.9639999999999</v>
      </c>
      <c r="I67">
        <v>6368.9809999999998</v>
      </c>
      <c r="J67">
        <v>33733.266000000003</v>
      </c>
      <c r="K67">
        <v>49922.811999999998</v>
      </c>
      <c r="L67">
        <v>44745.464999999997</v>
      </c>
      <c r="M67">
        <v>11330</v>
      </c>
      <c r="O67">
        <f>C67</f>
        <v>2013</v>
      </c>
      <c r="P67" s="1">
        <f t="shared" si="10"/>
        <v>525.96188640000003</v>
      </c>
      <c r="Q67" s="1">
        <f t="shared" si="11"/>
        <v>15.267736008000002</v>
      </c>
    </row>
    <row r="68" spans="1:17" x14ac:dyDescent="0.3">
      <c r="A68" t="s">
        <v>13</v>
      </c>
      <c r="B68" t="s">
        <v>14</v>
      </c>
      <c r="C68">
        <v>2014</v>
      </c>
      <c r="D68">
        <v>1569.0922</v>
      </c>
      <c r="E68">
        <v>865.94560000000001</v>
      </c>
      <c r="F68">
        <v>502.02148</v>
      </c>
      <c r="G68">
        <v>1797.0472</v>
      </c>
      <c r="H68">
        <v>9895.8580000000002</v>
      </c>
      <c r="I68">
        <v>6465.9663</v>
      </c>
      <c r="J68">
        <v>33976.355000000003</v>
      </c>
      <c r="K68">
        <v>50336.394999999997</v>
      </c>
      <c r="L68">
        <v>44912.37</v>
      </c>
      <c r="M68">
        <v>11220</v>
      </c>
      <c r="O68">
        <f>C68</f>
        <v>2014</v>
      </c>
      <c r="P68" s="1">
        <f t="shared" si="10"/>
        <v>528.87991067999997</v>
      </c>
      <c r="Q68" s="1">
        <f t="shared" si="11"/>
        <v>17.042783328000002</v>
      </c>
    </row>
    <row r="69" spans="1:17" x14ac:dyDescent="0.3">
      <c r="A69" t="s">
        <v>13</v>
      </c>
      <c r="B69" t="s">
        <v>14</v>
      </c>
      <c r="C69">
        <v>2015</v>
      </c>
      <c r="D69">
        <v>1669.6791000000001</v>
      </c>
      <c r="E69">
        <v>898.43317000000002</v>
      </c>
      <c r="F69">
        <v>649.45190000000002</v>
      </c>
      <c r="G69">
        <v>2105.7012</v>
      </c>
      <c r="H69">
        <v>9820.6720000000005</v>
      </c>
      <c r="I69">
        <v>6519.8495999999996</v>
      </c>
      <c r="J69">
        <v>34780.042999999998</v>
      </c>
      <c r="K69">
        <v>51294.03</v>
      </c>
      <c r="L69">
        <v>43695.343999999997</v>
      </c>
      <c r="M69">
        <v>11111</v>
      </c>
      <c r="O69">
        <f>C69</f>
        <v>2015</v>
      </c>
      <c r="P69" s="1">
        <f t="shared" si="10"/>
        <v>530.64095975999987</v>
      </c>
      <c r="Q69" s="1">
        <f t="shared" si="11"/>
        <v>19.163755332000001</v>
      </c>
    </row>
    <row r="70" spans="1:17" x14ac:dyDescent="0.3">
      <c r="A70" t="s">
        <v>13</v>
      </c>
      <c r="B70" t="s">
        <v>14</v>
      </c>
      <c r="C70">
        <v>2016</v>
      </c>
      <c r="D70">
        <v>1709.8453</v>
      </c>
      <c r="E70">
        <v>938.65326000000005</v>
      </c>
      <c r="F70">
        <v>824.15769999999998</v>
      </c>
      <c r="G70">
        <v>2418.7546000000002</v>
      </c>
      <c r="H70">
        <v>10090.338</v>
      </c>
      <c r="I70">
        <v>6566.9755999999998</v>
      </c>
      <c r="J70">
        <v>35583.983999999997</v>
      </c>
      <c r="K70">
        <v>52314.516000000003</v>
      </c>
      <c r="L70">
        <v>42767.824000000001</v>
      </c>
      <c r="M70">
        <v>11111</v>
      </c>
      <c r="O70">
        <f>C70</f>
        <v>2016</v>
      </c>
      <c r="P70" s="1">
        <f t="shared" si="10"/>
        <v>534.03947856000002</v>
      </c>
      <c r="Q70" s="1">
        <f t="shared" si="11"/>
        <v>21.209079096</v>
      </c>
    </row>
    <row r="71" spans="1:17" x14ac:dyDescent="0.3">
      <c r="A71" t="s">
        <v>13</v>
      </c>
      <c r="B71" t="s">
        <v>14</v>
      </c>
      <c r="C71">
        <v>2017</v>
      </c>
      <c r="D71">
        <v>1800.7177999999999</v>
      </c>
      <c r="E71">
        <v>957.89086999999995</v>
      </c>
      <c r="F71">
        <v>1114.7112999999999</v>
      </c>
      <c r="G71">
        <v>2856.3283999999999</v>
      </c>
      <c r="H71">
        <v>10171.045</v>
      </c>
      <c r="I71">
        <v>6592.5050000000001</v>
      </c>
      <c r="J71">
        <v>36603.055</v>
      </c>
      <c r="K71">
        <v>53263.332000000002</v>
      </c>
      <c r="L71">
        <v>43226.34</v>
      </c>
      <c r="M71">
        <v>11111</v>
      </c>
      <c r="O71">
        <f>C71</f>
        <v>2017</v>
      </c>
      <c r="P71" s="1">
        <f t="shared" si="10"/>
        <v>542.86643519999996</v>
      </c>
      <c r="Q71" s="1">
        <f t="shared" si="11"/>
        <v>24.226734131999997</v>
      </c>
    </row>
    <row r="72" spans="1:17" x14ac:dyDescent="0.3">
      <c r="A72" t="s">
        <v>13</v>
      </c>
      <c r="B72" t="s">
        <v>14</v>
      </c>
      <c r="C72">
        <v>2018</v>
      </c>
      <c r="D72">
        <v>1952.1038000000001</v>
      </c>
      <c r="E72">
        <v>1038.8154</v>
      </c>
      <c r="F72">
        <v>1431.7747999999999</v>
      </c>
      <c r="G72">
        <v>3162.1587</v>
      </c>
      <c r="H72">
        <v>10419.392</v>
      </c>
      <c r="I72">
        <v>6716.9759999999997</v>
      </c>
      <c r="J72">
        <v>38317.06</v>
      </c>
      <c r="K72">
        <v>53792.79</v>
      </c>
      <c r="L72">
        <v>43897.33</v>
      </c>
      <c r="M72">
        <v>11111</v>
      </c>
      <c r="O72">
        <f>C72</f>
        <v>2018</v>
      </c>
      <c r="P72" s="1">
        <f t="shared" si="10"/>
        <v>553.80656160000001</v>
      </c>
      <c r="Q72" s="1">
        <f t="shared" si="11"/>
        <v>27.305469720000001</v>
      </c>
    </row>
    <row r="73" spans="1:17" x14ac:dyDescent="0.3">
      <c r="A73" t="s">
        <v>13</v>
      </c>
      <c r="B73" t="s">
        <v>14</v>
      </c>
      <c r="C73">
        <v>2019</v>
      </c>
      <c r="D73">
        <v>2038.1202000000001</v>
      </c>
      <c r="E73">
        <v>1127.3136</v>
      </c>
      <c r="F73">
        <v>1748.8293000000001</v>
      </c>
      <c r="G73">
        <v>3520.4438</v>
      </c>
      <c r="H73">
        <v>10501.549000000001</v>
      </c>
      <c r="I73">
        <v>6920.1923999999999</v>
      </c>
      <c r="J73">
        <v>39053.18</v>
      </c>
      <c r="K73">
        <v>53997.266000000003</v>
      </c>
      <c r="L73">
        <v>43627.612999999998</v>
      </c>
      <c r="M73">
        <v>11111</v>
      </c>
      <c r="O73">
        <f>C73</f>
        <v>2019</v>
      </c>
      <c r="P73" s="1">
        <f t="shared" si="10"/>
        <v>556.95330504000003</v>
      </c>
      <c r="Q73" s="1">
        <f t="shared" si="11"/>
        <v>30.364944840000003</v>
      </c>
    </row>
    <row r="74" spans="1:17" x14ac:dyDescent="0.3">
      <c r="A74" t="s">
        <v>13</v>
      </c>
      <c r="B74" t="s">
        <v>14</v>
      </c>
      <c r="C74">
        <v>2020</v>
      </c>
      <c r="D74">
        <v>2152.2898</v>
      </c>
      <c r="E74">
        <v>1068.2295999999999</v>
      </c>
      <c r="F74">
        <v>2116.7440999999999</v>
      </c>
      <c r="G74">
        <v>3940.1646000000001</v>
      </c>
      <c r="H74">
        <v>10763.28</v>
      </c>
      <c r="I74">
        <v>6639.518</v>
      </c>
      <c r="J74">
        <v>38704.046999999999</v>
      </c>
      <c r="K74">
        <v>49101.245999999999</v>
      </c>
      <c r="L74">
        <v>42316.324000000001</v>
      </c>
      <c r="M74">
        <v>11111</v>
      </c>
      <c r="O74">
        <f>C74</f>
        <v>2020</v>
      </c>
      <c r="P74" s="1">
        <f t="shared" si="10"/>
        <v>532.33968600000003</v>
      </c>
      <c r="Q74" s="1">
        <f t="shared" si="11"/>
        <v>33.39874116</v>
      </c>
    </row>
    <row r="75" spans="1:17" x14ac:dyDescent="0.3">
      <c r="A75" t="s">
        <v>13</v>
      </c>
      <c r="B75" t="s">
        <v>14</v>
      </c>
      <c r="C75">
        <v>2021</v>
      </c>
      <c r="D75">
        <v>2317.5542</v>
      </c>
      <c r="E75">
        <v>1128.1194</v>
      </c>
      <c r="F75">
        <v>2593.0812999999998</v>
      </c>
      <c r="G75">
        <v>4582.7812000000004</v>
      </c>
      <c r="H75">
        <v>10575.531999999999</v>
      </c>
      <c r="I75">
        <v>6903.3266999999996</v>
      </c>
      <c r="J75">
        <v>40225.733999999997</v>
      </c>
      <c r="K75">
        <v>51846.82</v>
      </c>
      <c r="L75">
        <v>44642.163999999997</v>
      </c>
      <c r="M75">
        <v>11111</v>
      </c>
      <c r="O75">
        <f>C75</f>
        <v>2021</v>
      </c>
      <c r="P75" s="1">
        <f t="shared" si="10"/>
        <v>557.02456092</v>
      </c>
      <c r="Q75" s="1">
        <f t="shared" si="11"/>
        <v>38.237529960000003</v>
      </c>
    </row>
    <row r="76" spans="1:17" x14ac:dyDescent="0.3">
      <c r="A76" t="s">
        <v>13</v>
      </c>
      <c r="B76" t="s">
        <v>14</v>
      </c>
      <c r="C76">
        <v>2022</v>
      </c>
      <c r="D76">
        <v>2379.4794999999999</v>
      </c>
      <c r="E76">
        <v>1193.1312</v>
      </c>
      <c r="F76">
        <v>3249.7456000000002</v>
      </c>
      <c r="G76">
        <v>5184.6016</v>
      </c>
      <c r="H76">
        <v>10650.594999999999</v>
      </c>
      <c r="I76">
        <v>6583.3306000000002</v>
      </c>
      <c r="J76">
        <v>40059.652000000002</v>
      </c>
      <c r="K76">
        <v>53562.11</v>
      </c>
      <c r="L76">
        <v>44926.925999999999</v>
      </c>
      <c r="M76">
        <v>11111</v>
      </c>
      <c r="O76">
        <f>C76</f>
        <v>2022</v>
      </c>
      <c r="P76" s="1">
        <f t="shared" si="10"/>
        <v>562.47486695999999</v>
      </c>
      <c r="Q76" s="1">
        <f t="shared" si="11"/>
        <v>43.225048440000002</v>
      </c>
    </row>
    <row r="77" spans="1:17" x14ac:dyDescent="0.3">
      <c r="A77" t="s">
        <v>13</v>
      </c>
      <c r="B77" t="s">
        <v>14</v>
      </c>
      <c r="C77">
        <v>2023</v>
      </c>
      <c r="D77">
        <v>2411.3584000000001</v>
      </c>
      <c r="E77">
        <v>1319.2163</v>
      </c>
      <c r="F77">
        <v>4026.5817999999999</v>
      </c>
      <c r="G77">
        <v>5665.2079999999996</v>
      </c>
      <c r="H77">
        <v>10392.08</v>
      </c>
      <c r="I77">
        <v>6677.13</v>
      </c>
      <c r="J77">
        <v>40151.22</v>
      </c>
      <c r="K77">
        <v>54838.684000000001</v>
      </c>
      <c r="L77">
        <v>45319.086000000003</v>
      </c>
      <c r="M77">
        <v>11111</v>
      </c>
      <c r="O77">
        <f>C77</f>
        <v>2023</v>
      </c>
      <c r="P77" s="1">
        <f t="shared" si="10"/>
        <v>569.149632</v>
      </c>
      <c r="Q77" s="1">
        <f t="shared" si="11"/>
        <v>48.320512199999996</v>
      </c>
    </row>
    <row r="78" spans="1:17" x14ac:dyDescent="0.3">
      <c r="A78" t="s">
        <v>13</v>
      </c>
      <c r="B78" t="s">
        <v>14</v>
      </c>
      <c r="C78">
        <v>2024</v>
      </c>
      <c r="D78">
        <v>2476.3566999999998</v>
      </c>
      <c r="E78">
        <v>1366.8783000000001</v>
      </c>
      <c r="F78">
        <v>5150.5693000000001</v>
      </c>
      <c r="G78">
        <v>6124.4652999999998</v>
      </c>
      <c r="H78">
        <v>10860.753000000001</v>
      </c>
      <c r="I78">
        <v>6871.835</v>
      </c>
      <c r="J78">
        <v>41278.269999999997</v>
      </c>
      <c r="K78">
        <v>55292.082000000002</v>
      </c>
      <c r="L78">
        <v>45850.542999999998</v>
      </c>
      <c r="M78">
        <v>11111</v>
      </c>
      <c r="O78">
        <f>C78</f>
        <v>2024</v>
      </c>
      <c r="P78" s="1">
        <f t="shared" si="10"/>
        <v>577.45342800000003</v>
      </c>
      <c r="Q78" s="1">
        <f t="shared" si="11"/>
        <v>54.425770559999997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global-energy-substitution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Caper Lion</dc:creator>
  <cp:lastModifiedBy>Skeptic Boffin</cp:lastModifiedBy>
  <dcterms:created xsi:type="dcterms:W3CDTF">2025-10-19T13:57:15Z</dcterms:created>
  <dcterms:modified xsi:type="dcterms:W3CDTF">2025-10-19T20:06:19Z</dcterms:modified>
</cp:coreProperties>
</file>